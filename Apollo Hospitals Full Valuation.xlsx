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trlProps/ctrlProp2.xml" ContentType="application/vnd.ms-excel.controlpropertie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av\Finance Certifications\Financial Models\"/>
    </mc:Choice>
  </mc:AlternateContent>
  <xr:revisionPtr revIDLastSave="0" documentId="13_ncr:1_{7E52906E-1EFE-4531-AF6A-41CD1DBEB01C}" xr6:coauthVersionLast="47" xr6:coauthVersionMax="47" xr10:uidLastSave="{00000000-0000-0000-0000-000000000000}"/>
  <bookViews>
    <workbookView xWindow="-108" yWindow="-108" windowWidth="23256" windowHeight="12456" activeTab="1" xr2:uid="{82C2028B-2899-4392-95D9-6FC7B7279F7E}"/>
  </bookViews>
  <sheets>
    <sheet name="Cover" sheetId="1" r:id="rId1"/>
    <sheet name="Outputs" sheetId="4" r:id="rId2"/>
    <sheet name="Inputs" sheetId="3" r:id="rId3"/>
    <sheet name="Comps Table" sheetId="5" r:id="rId4"/>
    <sheet name="DCF Valuation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5" l="1"/>
  <c r="H30" i="5" s="1"/>
  <c r="H31" i="5" s="1"/>
  <c r="H32" i="5" s="1"/>
  <c r="H33" i="5" s="1"/>
  <c r="L38" i="3"/>
  <c r="K38" i="3"/>
  <c r="J38" i="3"/>
  <c r="I38" i="3"/>
  <c r="H38" i="3"/>
  <c r="L36" i="3"/>
  <c r="K36" i="3"/>
  <c r="J36" i="3"/>
  <c r="I36" i="3"/>
  <c r="H36" i="3"/>
  <c r="J37" i="3"/>
  <c r="K37" i="3" s="1"/>
  <c r="L37" i="3" s="1"/>
  <c r="I37" i="3"/>
  <c r="J32" i="5"/>
  <c r="J33" i="5" s="1"/>
  <c r="J31" i="5"/>
  <c r="J30" i="5"/>
  <c r="L20" i="5"/>
  <c r="L19" i="5"/>
  <c r="L18" i="5"/>
  <c r="L17" i="5"/>
  <c r="L16" i="5"/>
  <c r="I20" i="5"/>
  <c r="I19" i="5"/>
  <c r="I18" i="5"/>
  <c r="I17" i="5"/>
  <c r="I16" i="5"/>
  <c r="F15" i="5"/>
  <c r="L15" i="5" s="1"/>
  <c r="O60" i="4"/>
  <c r="I16" i="3" l="1"/>
  <c r="J16" i="3" s="1"/>
  <c r="K16" i="3" s="1"/>
  <c r="L16" i="3" s="1"/>
  <c r="D69" i="4" l="1"/>
  <c r="E69" i="4"/>
  <c r="F69" i="4"/>
  <c r="G69" i="4"/>
  <c r="D70" i="4"/>
  <c r="E70" i="4"/>
  <c r="F70" i="4"/>
  <c r="G70" i="4"/>
  <c r="D71" i="4"/>
  <c r="E71" i="4"/>
  <c r="F71" i="4"/>
  <c r="G71" i="4"/>
  <c r="D72" i="4"/>
  <c r="E72" i="4"/>
  <c r="F72" i="4"/>
  <c r="G72" i="4"/>
  <c r="D73" i="4"/>
  <c r="E92" i="4" s="1"/>
  <c r="E73" i="4"/>
  <c r="F73" i="4"/>
  <c r="G73" i="4"/>
  <c r="H73" i="4"/>
  <c r="H72" i="4"/>
  <c r="H71" i="4"/>
  <c r="H70" i="4"/>
  <c r="H69" i="4"/>
  <c r="E59" i="4"/>
  <c r="E58" i="4"/>
  <c r="E57" i="4"/>
  <c r="O56" i="4"/>
  <c r="H92" i="4" l="1"/>
  <c r="G92" i="4"/>
  <c r="F92" i="4" s="1"/>
  <c r="G58" i="4"/>
  <c r="G57" i="4"/>
  <c r="G59" i="4"/>
  <c r="F288" i="2" l="1"/>
  <c r="I250" i="2"/>
  <c r="J280" i="2" l="1"/>
  <c r="E272" i="2"/>
  <c r="O58" i="4" s="1"/>
  <c r="E100" i="3" l="1"/>
  <c r="L90" i="3"/>
  <c r="F91" i="3"/>
  <c r="F94" i="3" s="1"/>
  <c r="E101" i="3" l="1"/>
  <c r="F92" i="3"/>
  <c r="K76" i="3" l="1"/>
  <c r="K75" i="3"/>
  <c r="H76" i="3"/>
  <c r="H75" i="3"/>
  <c r="J73" i="3"/>
  <c r="I73" i="3"/>
  <c r="L73" i="3" s="1"/>
  <c r="J72" i="3"/>
  <c r="I72" i="3"/>
  <c r="L72" i="3" s="1"/>
  <c r="J71" i="3"/>
  <c r="I71" i="3"/>
  <c r="L71" i="3" s="1"/>
  <c r="J70" i="3"/>
  <c r="I70" i="3"/>
  <c r="L70" i="3" s="1"/>
  <c r="J69" i="3"/>
  <c r="I69" i="3"/>
  <c r="L69" i="3" s="1"/>
  <c r="J76" i="3" l="1"/>
  <c r="L76" i="3"/>
  <c r="L75" i="3"/>
  <c r="F82" i="3" s="1"/>
  <c r="F83" i="3" s="1"/>
  <c r="F84" i="3" s="1"/>
  <c r="L82" i="3" s="1"/>
  <c r="L84" i="3" s="1"/>
  <c r="F101" i="3" s="1"/>
  <c r="I75" i="3"/>
  <c r="J75" i="3"/>
  <c r="I76" i="3"/>
  <c r="H15" i="3"/>
  <c r="H45" i="3"/>
  <c r="I45" i="3" s="1"/>
  <c r="J45" i="3" s="1"/>
  <c r="K45" i="3" s="1"/>
  <c r="L45" i="3" s="1"/>
  <c r="I44" i="3"/>
  <c r="J44" i="3" s="1"/>
  <c r="K44" i="3" s="1"/>
  <c r="L44" i="3" s="1"/>
  <c r="I86" i="2" l="1"/>
  <c r="H86" i="2"/>
  <c r="I82" i="2"/>
  <c r="I244" i="2" s="1"/>
  <c r="H82" i="2"/>
  <c r="I90" i="2"/>
  <c r="I93" i="2"/>
  <c r="H93" i="2"/>
  <c r="H92" i="2"/>
  <c r="I91" i="2"/>
  <c r="H91" i="2"/>
  <c r="H90" i="2"/>
  <c r="I108" i="2"/>
  <c r="I107" i="2"/>
  <c r="I243" i="2" s="1"/>
  <c r="I245" i="2" s="1"/>
  <c r="H108" i="2"/>
  <c r="H107" i="2"/>
  <c r="I103" i="2"/>
  <c r="H103" i="2"/>
  <c r="I102" i="2"/>
  <c r="H102" i="2"/>
  <c r="I101" i="2"/>
  <c r="H101" i="2"/>
  <c r="I28" i="2"/>
  <c r="H28" i="2"/>
  <c r="I25" i="2"/>
  <c r="I17" i="2"/>
  <c r="H17" i="2"/>
  <c r="F262" i="2"/>
  <c r="B259" i="2"/>
  <c r="K258" i="2"/>
  <c r="N250" i="2"/>
  <c r="M250" i="2"/>
  <c r="L250" i="2"/>
  <c r="K250" i="2"/>
  <c r="J250" i="2"/>
  <c r="B240" i="2"/>
  <c r="K239" i="2"/>
  <c r="L239" i="2" s="1"/>
  <c r="M239" i="2" s="1"/>
  <c r="N239" i="2" s="1"/>
  <c r="F286" i="2" l="1"/>
  <c r="O59" i="4" s="1"/>
  <c r="L258" i="2"/>
  <c r="K280" i="2"/>
  <c r="D90" i="3"/>
  <c r="D92" i="3" s="1"/>
  <c r="E90" i="3" s="1"/>
  <c r="I213" i="2"/>
  <c r="J211" i="2" s="1"/>
  <c r="L89" i="3"/>
  <c r="L91" i="3" s="1"/>
  <c r="F100" i="3" s="1"/>
  <c r="F103" i="3" s="1"/>
  <c r="I54" i="3"/>
  <c r="J54" i="3" s="1"/>
  <c r="K54" i="3" s="1"/>
  <c r="L54" i="3" s="1"/>
  <c r="E271" i="2" l="1"/>
  <c r="O57" i="4"/>
  <c r="L72" i="4"/>
  <c r="D84" i="4" s="1"/>
  <c r="L84" i="4" s="1"/>
  <c r="O73" i="4"/>
  <c r="G85" i="4" s="1"/>
  <c r="O85" i="4" s="1"/>
  <c r="N69" i="4"/>
  <c r="F81" i="4" s="1"/>
  <c r="N81" i="4" s="1"/>
  <c r="O72" i="4"/>
  <c r="G84" i="4" s="1"/>
  <c r="O84" i="4" s="1"/>
  <c r="O69" i="4"/>
  <c r="G81" i="4" s="1"/>
  <c r="O81" i="4" s="1"/>
  <c r="L73" i="4"/>
  <c r="D85" i="4" s="1"/>
  <c r="L85" i="4" s="1"/>
  <c r="L69" i="4"/>
  <c r="D81" i="4" s="1"/>
  <c r="L81" i="4" s="1"/>
  <c r="N70" i="4"/>
  <c r="F82" i="4" s="1"/>
  <c r="N82" i="4" s="1"/>
  <c r="N73" i="4"/>
  <c r="F85" i="4" s="1"/>
  <c r="N85" i="4" s="1"/>
  <c r="P71" i="4"/>
  <c r="H83" i="4" s="1"/>
  <c r="P83" i="4" s="1"/>
  <c r="M73" i="4"/>
  <c r="E85" i="4" s="1"/>
  <c r="M85" i="4" s="1"/>
  <c r="O71" i="4"/>
  <c r="G83" i="4" s="1"/>
  <c r="O83" i="4" s="1"/>
  <c r="M72" i="4"/>
  <c r="E84" i="4" s="1"/>
  <c r="M84" i="4" s="1"/>
  <c r="M71" i="4"/>
  <c r="E83" i="4" s="1"/>
  <c r="M83" i="4" s="1"/>
  <c r="P70" i="4"/>
  <c r="H82" i="4" s="1"/>
  <c r="P82" i="4" s="1"/>
  <c r="L71" i="4"/>
  <c r="D83" i="4" s="1"/>
  <c r="L83" i="4" s="1"/>
  <c r="O70" i="4"/>
  <c r="G82" i="4" s="1"/>
  <c r="O82" i="4" s="1"/>
  <c r="M69" i="4"/>
  <c r="E81" i="4" s="1"/>
  <c r="M81" i="4" s="1"/>
  <c r="P72" i="4"/>
  <c r="H84" i="4" s="1"/>
  <c r="P84" i="4" s="1"/>
  <c r="P73" i="4"/>
  <c r="H85" i="4" s="1"/>
  <c r="P85" i="4" s="1"/>
  <c r="N71" i="4"/>
  <c r="F83" i="4" s="1"/>
  <c r="N83" i="4" s="1"/>
  <c r="L70" i="4"/>
  <c r="D82" i="4" s="1"/>
  <c r="L82" i="4" s="1"/>
  <c r="P69" i="4"/>
  <c r="H81" i="4" s="1"/>
  <c r="P81" i="4" s="1"/>
  <c r="N72" i="4"/>
  <c r="F84" i="4" s="1"/>
  <c r="N84" i="4" s="1"/>
  <c r="M70" i="4"/>
  <c r="E82" i="4" s="1"/>
  <c r="M82" i="4" s="1"/>
  <c r="M258" i="2"/>
  <c r="L280" i="2"/>
  <c r="E91" i="3"/>
  <c r="E94" i="3" s="1"/>
  <c r="H31" i="3"/>
  <c r="H24" i="3"/>
  <c r="H22" i="3"/>
  <c r="H29" i="3"/>
  <c r="I30" i="3"/>
  <c r="I29" i="3" s="1"/>
  <c r="I23" i="3"/>
  <c r="J23" i="3" s="1"/>
  <c r="N258" i="2" l="1"/>
  <c r="N280" i="2" s="1"/>
  <c r="M280" i="2"/>
  <c r="E92" i="3"/>
  <c r="I24" i="3"/>
  <c r="K23" i="3"/>
  <c r="J24" i="3"/>
  <c r="J22" i="3"/>
  <c r="I22" i="3"/>
  <c r="I31" i="3"/>
  <c r="J30" i="3"/>
  <c r="I221" i="2"/>
  <c r="J221" i="2" s="1"/>
  <c r="K221" i="2" s="1"/>
  <c r="L221" i="2" s="1"/>
  <c r="M221" i="2" s="1"/>
  <c r="N221" i="2" s="1"/>
  <c r="I207" i="2"/>
  <c r="J207" i="2" s="1"/>
  <c r="K207" i="2" s="1"/>
  <c r="L207" i="2" s="1"/>
  <c r="M207" i="2" s="1"/>
  <c r="N207" i="2" s="1"/>
  <c r="I155" i="2"/>
  <c r="J155" i="2" s="1"/>
  <c r="K155" i="2" s="1"/>
  <c r="L155" i="2" s="1"/>
  <c r="M155" i="2" s="1"/>
  <c r="N155" i="2" s="1"/>
  <c r="I124" i="2"/>
  <c r="J124" i="2" s="1"/>
  <c r="K124" i="2" s="1"/>
  <c r="L124" i="2" s="1"/>
  <c r="M124" i="2" s="1"/>
  <c r="N124" i="2" s="1"/>
  <c r="I76" i="2"/>
  <c r="J76" i="2" s="1"/>
  <c r="K76" i="2" s="1"/>
  <c r="L76" i="2" s="1"/>
  <c r="M76" i="2" s="1"/>
  <c r="N76" i="2" s="1"/>
  <c r="J35" i="2"/>
  <c r="K35" i="2" s="1"/>
  <c r="L35" i="2" s="1"/>
  <c r="M35" i="2" s="1"/>
  <c r="N35" i="2" s="1"/>
  <c r="I50" i="3"/>
  <c r="J50" i="3" s="1"/>
  <c r="K50" i="3" s="1"/>
  <c r="L50" i="3" s="1"/>
  <c r="K30" i="3" l="1"/>
  <c r="J31" i="3"/>
  <c r="J29" i="3"/>
  <c r="L23" i="3"/>
  <c r="K22" i="3"/>
  <c r="K24" i="3"/>
  <c r="H17" i="3"/>
  <c r="H139" i="2"/>
  <c r="E163" i="2"/>
  <c r="B222" i="2"/>
  <c r="B208" i="2"/>
  <c r="B156" i="2"/>
  <c r="B125" i="2"/>
  <c r="B77" i="2"/>
  <c r="B36" i="2"/>
  <c r="B11" i="2"/>
  <c r="B13" i="4"/>
  <c r="B11" i="3"/>
  <c r="I17" i="4"/>
  <c r="H17" i="4"/>
  <c r="I10" i="4"/>
  <c r="J10" i="4" s="1"/>
  <c r="K10" i="4" s="1"/>
  <c r="L10" i="4" s="1"/>
  <c r="M10" i="4" s="1"/>
  <c r="N10" i="4" s="1"/>
  <c r="I15" i="3" l="1"/>
  <c r="I17" i="3"/>
  <c r="J17" i="3"/>
  <c r="J15" i="3"/>
  <c r="L22" i="3"/>
  <c r="L24" i="3"/>
  <c r="L30" i="3"/>
  <c r="K29" i="3"/>
  <c r="K31" i="3"/>
  <c r="I70" i="2"/>
  <c r="J68" i="2" s="1"/>
  <c r="I234" i="2"/>
  <c r="J231" i="2" s="1"/>
  <c r="N226" i="2"/>
  <c r="M226" i="2"/>
  <c r="L226" i="2"/>
  <c r="K226" i="2"/>
  <c r="J226" i="2"/>
  <c r="I227" i="2"/>
  <c r="J225" i="2" s="1"/>
  <c r="J91" i="2"/>
  <c r="K91" i="2" s="1"/>
  <c r="J112" i="2"/>
  <c r="J64" i="2" s="1"/>
  <c r="H140" i="2"/>
  <c r="N135" i="2"/>
  <c r="M135" i="2"/>
  <c r="L135" i="2"/>
  <c r="K135" i="2"/>
  <c r="J135" i="2"/>
  <c r="N134" i="2"/>
  <c r="M134" i="2"/>
  <c r="L134" i="2"/>
  <c r="K134" i="2"/>
  <c r="J134" i="2"/>
  <c r="N133" i="2"/>
  <c r="M133" i="2"/>
  <c r="L133" i="2"/>
  <c r="K133" i="2"/>
  <c r="J133" i="2"/>
  <c r="J24" i="2"/>
  <c r="K24" i="2" s="1"/>
  <c r="L24" i="2" s="1"/>
  <c r="M24" i="2" s="1"/>
  <c r="N24" i="2" s="1"/>
  <c r="J23" i="2"/>
  <c r="K23" i="2" s="1"/>
  <c r="L23" i="2" s="1"/>
  <c r="M23" i="2" s="1"/>
  <c r="N23" i="2" s="1"/>
  <c r="N215" i="2"/>
  <c r="M215" i="2"/>
  <c r="L215" i="2"/>
  <c r="K215" i="2"/>
  <c r="J215" i="2"/>
  <c r="N212" i="2"/>
  <c r="M212" i="2"/>
  <c r="L212" i="2"/>
  <c r="K212" i="2"/>
  <c r="J212" i="2"/>
  <c r="L31" i="3" l="1"/>
  <c r="L29" i="3"/>
  <c r="K15" i="3"/>
  <c r="K17" i="3"/>
  <c r="J227" i="2"/>
  <c r="K225" i="2" s="1"/>
  <c r="K227" i="2" s="1"/>
  <c r="L225" i="2" s="1"/>
  <c r="L227" i="2" s="1"/>
  <c r="M225" i="2" s="1"/>
  <c r="M227" i="2" s="1"/>
  <c r="N225" i="2" s="1"/>
  <c r="N227" i="2" s="1"/>
  <c r="L91" i="2"/>
  <c r="K53" i="2"/>
  <c r="K112" i="2"/>
  <c r="J53" i="2"/>
  <c r="L17" i="3" l="1"/>
  <c r="L15" i="3"/>
  <c r="L112" i="2"/>
  <c r="K64" i="2"/>
  <c r="M91" i="2"/>
  <c r="L53" i="2"/>
  <c r="N91" i="2" l="1"/>
  <c r="N53" i="2" s="1"/>
  <c r="M53" i="2"/>
  <c r="M112" i="2"/>
  <c r="L64" i="2"/>
  <c r="N112" i="2" l="1"/>
  <c r="N64" i="2" s="1"/>
  <c r="M64" i="2"/>
  <c r="G185" i="2" l="1"/>
  <c r="G186" i="2" s="1"/>
  <c r="G187" i="2" s="1"/>
  <c r="G188" i="2" s="1"/>
  <c r="K183" i="2"/>
  <c r="L183" i="2" s="1"/>
  <c r="M183" i="2" s="1"/>
  <c r="N183" i="2" s="1"/>
  <c r="J179" i="2"/>
  <c r="J178" i="2"/>
  <c r="K179" i="2" s="1"/>
  <c r="J177" i="2"/>
  <c r="K178" i="2" s="1"/>
  <c r="L179" i="2" s="1"/>
  <c r="J176" i="2"/>
  <c r="K177" i="2" s="1"/>
  <c r="L178" i="2" s="1"/>
  <c r="M179" i="2" s="1"/>
  <c r="H179" i="2"/>
  <c r="H178" i="2"/>
  <c r="H177" i="2"/>
  <c r="H176" i="2"/>
  <c r="H175" i="2"/>
  <c r="G176" i="2"/>
  <c r="G177" i="2" s="1"/>
  <c r="G178" i="2" s="1"/>
  <c r="G179" i="2" s="1"/>
  <c r="K174" i="2"/>
  <c r="L174" i="2" s="1"/>
  <c r="M174" i="2" s="1"/>
  <c r="N174" i="2" s="1"/>
  <c r="J170" i="2"/>
  <c r="K170" i="2" s="1"/>
  <c r="J163" i="2"/>
  <c r="K163" i="2" l="1"/>
  <c r="L163" i="2" s="1"/>
  <c r="J175" i="2"/>
  <c r="K176" i="2" s="1"/>
  <c r="L177" i="2" s="1"/>
  <c r="M178" i="2" s="1"/>
  <c r="N179" i="2" s="1"/>
  <c r="L170" i="2"/>
  <c r="K175" i="2"/>
  <c r="M170" i="2" l="1"/>
  <c r="L175" i="2"/>
  <c r="L176" i="2"/>
  <c r="M163" i="2"/>
  <c r="M177" i="2" l="1"/>
  <c r="M176" i="2"/>
  <c r="N170" i="2"/>
  <c r="N175" i="2" s="1"/>
  <c r="M175" i="2"/>
  <c r="N163" i="2"/>
  <c r="N176" i="2" l="1"/>
  <c r="N177" i="2"/>
  <c r="N178" i="2"/>
  <c r="L34" i="3" l="1" a="1"/>
  <c r="L34" i="3" s="1"/>
  <c r="K34" i="3" a="1"/>
  <c r="K34" i="3" s="1"/>
  <c r="J34" i="3" a="1"/>
  <c r="J34" i="3" s="1"/>
  <c r="I34" i="3" a="1"/>
  <c r="I34" i="3" s="1"/>
  <c r="H34" i="3" a="1"/>
  <c r="H34" i="3" s="1"/>
  <c r="L27" i="3" a="1"/>
  <c r="L27" i="3" s="1"/>
  <c r="K27" i="3" a="1"/>
  <c r="K27" i="3" s="1"/>
  <c r="J27" i="3" a="1"/>
  <c r="J27" i="3" s="1"/>
  <c r="I27" i="3" a="1"/>
  <c r="I27" i="3" s="1"/>
  <c r="H27" i="3" a="1"/>
  <c r="H27" i="3" s="1"/>
  <c r="L20" i="3" a="1"/>
  <c r="L20" i="3" s="1"/>
  <c r="K20" i="3" a="1"/>
  <c r="K20" i="3" s="1"/>
  <c r="J20" i="3" a="1"/>
  <c r="J20" i="3" s="1"/>
  <c r="I20" i="3" a="1"/>
  <c r="I20" i="3" s="1"/>
  <c r="H20" i="3" a="1"/>
  <c r="H20" i="3" s="1"/>
  <c r="L13" i="3" a="1"/>
  <c r="L13" i="3" s="1"/>
  <c r="K13" i="3" a="1"/>
  <c r="K13" i="3" s="1"/>
  <c r="J13" i="3" a="1"/>
  <c r="J13" i="3" s="1"/>
  <c r="I13" i="3" a="1"/>
  <c r="I13" i="3" s="1"/>
  <c r="H13" i="3" a="1"/>
  <c r="H13" i="3" s="1"/>
  <c r="J13" i="2" s="1"/>
  <c r="I129" i="2"/>
  <c r="J158" i="2" l="1"/>
  <c r="J14" i="2"/>
  <c r="J102" i="2"/>
  <c r="J92" i="2"/>
  <c r="J83" i="2"/>
  <c r="J268" i="2" l="1"/>
  <c r="H184" i="2"/>
  <c r="I184" i="2" s="1"/>
  <c r="J128" i="2"/>
  <c r="J139" i="2" s="1"/>
  <c r="J84" i="2" s="1"/>
  <c r="J17" i="4"/>
  <c r="J17" i="2"/>
  <c r="J15" i="2"/>
  <c r="K13" i="2"/>
  <c r="K83" i="2"/>
  <c r="J54" i="2"/>
  <c r="J55" i="2"/>
  <c r="K92" i="2"/>
  <c r="J61" i="2"/>
  <c r="K102" i="2"/>
  <c r="J200" i="2"/>
  <c r="J52" i="2"/>
  <c r="I128" i="2"/>
  <c r="H128" i="2"/>
  <c r="I10" i="3"/>
  <c r="J10" i="3" s="1"/>
  <c r="K10" i="3" s="1"/>
  <c r="L10" i="3" s="1"/>
  <c r="M184" i="2" l="1"/>
  <c r="N184" i="2"/>
  <c r="K184" i="2"/>
  <c r="L184" i="2"/>
  <c r="J184" i="2"/>
  <c r="L13" i="2"/>
  <c r="K158" i="2"/>
  <c r="H185" i="2" s="1"/>
  <c r="I185" i="2" s="1"/>
  <c r="J129" i="2"/>
  <c r="J141" i="2" s="1"/>
  <c r="J101" i="2" s="1"/>
  <c r="J145" i="2"/>
  <c r="K128" i="2"/>
  <c r="K139" i="2" s="1"/>
  <c r="K145" i="2" s="1"/>
  <c r="K17" i="4"/>
  <c r="K17" i="2"/>
  <c r="J18" i="2"/>
  <c r="J19" i="4" s="1"/>
  <c r="J20" i="4" s="1"/>
  <c r="K14" i="2"/>
  <c r="L92" i="2"/>
  <c r="K55" i="2"/>
  <c r="L83" i="2"/>
  <c r="K54" i="2"/>
  <c r="L102" i="2"/>
  <c r="K61" i="2"/>
  <c r="J103" i="2"/>
  <c r="H141" i="2"/>
  <c r="J108" i="2"/>
  <c r="H109" i="2"/>
  <c r="I114" i="2"/>
  <c r="I246" i="2" s="1"/>
  <c r="I247" i="2" s="1"/>
  <c r="H114" i="2"/>
  <c r="J86" i="2"/>
  <c r="I140" i="2"/>
  <c r="I134" i="2" s="1"/>
  <c r="H133" i="2"/>
  <c r="J93" i="2"/>
  <c r="I202" i="2"/>
  <c r="J199" i="2" s="1"/>
  <c r="H94" i="2"/>
  <c r="J185" i="2" l="1"/>
  <c r="L185" i="2"/>
  <c r="M185" i="2"/>
  <c r="K185" i="2"/>
  <c r="N185" i="2"/>
  <c r="L158" i="2"/>
  <c r="H186" i="2" s="1"/>
  <c r="I186" i="2" s="1"/>
  <c r="L17" i="4"/>
  <c r="L128" i="2"/>
  <c r="L139" i="2" s="1"/>
  <c r="M13" i="2"/>
  <c r="L14" i="2"/>
  <c r="L17" i="2"/>
  <c r="M17" i="4"/>
  <c r="K268" i="2"/>
  <c r="K200" i="2"/>
  <c r="K52" i="2"/>
  <c r="J140" i="2"/>
  <c r="J85" i="2" s="1"/>
  <c r="J43" i="2" s="1"/>
  <c r="K84" i="2"/>
  <c r="K42" i="2" s="1"/>
  <c r="K129" i="2"/>
  <c r="K15" i="2"/>
  <c r="K18" i="2" s="1"/>
  <c r="K19" i="4" s="1"/>
  <c r="K20" i="4" s="1"/>
  <c r="M102" i="2"/>
  <c r="L61" i="2"/>
  <c r="M83" i="2"/>
  <c r="L54" i="2"/>
  <c r="M92" i="2"/>
  <c r="L55" i="2"/>
  <c r="K108" i="2"/>
  <c r="J63" i="2"/>
  <c r="J45" i="2"/>
  <c r="J47" i="2"/>
  <c r="K103" i="2"/>
  <c r="J56" i="2"/>
  <c r="J57" i="2" s="1"/>
  <c r="J29" i="4" s="1"/>
  <c r="K93" i="2"/>
  <c r="J104" i="2"/>
  <c r="I109" i="2"/>
  <c r="K86" i="2"/>
  <c r="J44" i="2"/>
  <c r="I139" i="2"/>
  <c r="I133" i="2" s="1"/>
  <c r="J42" i="2"/>
  <c r="I94" i="2"/>
  <c r="H145" i="2"/>
  <c r="I104" i="2"/>
  <c r="I141" i="2"/>
  <c r="I135" i="2" s="1"/>
  <c r="H104" i="2"/>
  <c r="H116" i="2" s="1"/>
  <c r="H87" i="2"/>
  <c r="H96" i="2" s="1"/>
  <c r="I87" i="2"/>
  <c r="N186" i="2" l="1"/>
  <c r="L186" i="2"/>
  <c r="J186" i="2"/>
  <c r="K186" i="2"/>
  <c r="M186" i="2"/>
  <c r="L268" i="2"/>
  <c r="L200" i="2"/>
  <c r="L52" i="2"/>
  <c r="L84" i="2"/>
  <c r="L42" i="2" s="1"/>
  <c r="L145" i="2"/>
  <c r="M158" i="2"/>
  <c r="H187" i="2" s="1"/>
  <c r="I187" i="2" s="1"/>
  <c r="M14" i="2"/>
  <c r="M17" i="2"/>
  <c r="N13" i="2"/>
  <c r="M128" i="2"/>
  <c r="M139" i="2" s="1"/>
  <c r="L129" i="2"/>
  <c r="L15" i="2"/>
  <c r="L18" i="2" s="1"/>
  <c r="L19" i="4" s="1"/>
  <c r="L20" i="4" s="1"/>
  <c r="J146" i="2"/>
  <c r="J147" i="2" s="1"/>
  <c r="I145" i="2"/>
  <c r="I116" i="2"/>
  <c r="K140" i="2"/>
  <c r="K141" i="2"/>
  <c r="K101" i="2" s="1"/>
  <c r="K45" i="2" s="1"/>
  <c r="N92" i="2"/>
  <c r="N55" i="2" s="1"/>
  <c r="M55" i="2"/>
  <c r="N83" i="2"/>
  <c r="N54" i="2" s="1"/>
  <c r="M54" i="2"/>
  <c r="N102" i="2"/>
  <c r="N61" i="2" s="1"/>
  <c r="M61" i="2"/>
  <c r="L108" i="2"/>
  <c r="K63" i="2"/>
  <c r="H119" i="2"/>
  <c r="I96" i="2"/>
  <c r="L103" i="2"/>
  <c r="K47" i="2"/>
  <c r="L86" i="2"/>
  <c r="K44" i="2"/>
  <c r="L93" i="2"/>
  <c r="K56" i="2"/>
  <c r="K57" i="2" s="1"/>
  <c r="K29" i="4" s="1"/>
  <c r="K193" i="2"/>
  <c r="J193" i="2"/>
  <c r="L193" i="2"/>
  <c r="M193" i="2"/>
  <c r="N193" i="2"/>
  <c r="I15" i="2"/>
  <c r="H129" i="2"/>
  <c r="I10" i="2"/>
  <c r="J10" i="2" s="1"/>
  <c r="K10" i="2" s="1"/>
  <c r="L10" i="2" s="1"/>
  <c r="M10" i="2" s="1"/>
  <c r="N10" i="2" s="1"/>
  <c r="K187" i="2" l="1"/>
  <c r="L187" i="2"/>
  <c r="M187" i="2"/>
  <c r="N187" i="2"/>
  <c r="J187" i="2"/>
  <c r="M268" i="2"/>
  <c r="M52" i="2"/>
  <c r="M200" i="2"/>
  <c r="M15" i="2"/>
  <c r="M18" i="2" s="1"/>
  <c r="M19" i="4" s="1"/>
  <c r="M20" i="4" s="1"/>
  <c r="M129" i="2"/>
  <c r="N158" i="2"/>
  <c r="H188" i="2" s="1"/>
  <c r="I188" i="2" s="1"/>
  <c r="N17" i="4"/>
  <c r="N128" i="2"/>
  <c r="N139" i="2" s="1"/>
  <c r="N14" i="2"/>
  <c r="N17" i="2"/>
  <c r="M84" i="2"/>
  <c r="M42" i="2" s="1"/>
  <c r="M145" i="2"/>
  <c r="L141" i="2"/>
  <c r="L140" i="2"/>
  <c r="L85" i="2" s="1"/>
  <c r="I119" i="2"/>
  <c r="K146" i="2"/>
  <c r="K147" i="2" s="1"/>
  <c r="K150" i="2" s="1"/>
  <c r="K267" i="2" s="1"/>
  <c r="K85" i="2"/>
  <c r="K43" i="2" s="1"/>
  <c r="K104" i="2"/>
  <c r="M108" i="2"/>
  <c r="L63" i="2"/>
  <c r="M93" i="2"/>
  <c r="L56" i="2"/>
  <c r="L57" i="2" s="1"/>
  <c r="L29" i="4" s="1"/>
  <c r="M103" i="2"/>
  <c r="L47" i="2"/>
  <c r="M86" i="2"/>
  <c r="L44" i="2"/>
  <c r="H135" i="2"/>
  <c r="H15" i="2"/>
  <c r="H18" i="2" s="1"/>
  <c r="I18" i="2"/>
  <c r="N188" i="2" l="1"/>
  <c r="N194" i="2" s="1"/>
  <c r="N195" i="2" s="1"/>
  <c r="M188" i="2"/>
  <c r="M194" i="2" s="1"/>
  <c r="M195" i="2" s="1"/>
  <c r="L188" i="2"/>
  <c r="L194" i="2" s="1"/>
  <c r="L195" i="2" s="1"/>
  <c r="J188" i="2"/>
  <c r="J194" i="2" s="1"/>
  <c r="J195" i="2" s="1"/>
  <c r="J20" i="2" s="1"/>
  <c r="K188" i="2"/>
  <c r="K194" i="2" s="1"/>
  <c r="K195" i="2" s="1"/>
  <c r="J266" i="2"/>
  <c r="J201" i="2"/>
  <c r="J202" i="2" s="1"/>
  <c r="K266" i="2"/>
  <c r="K20" i="2"/>
  <c r="K201" i="2"/>
  <c r="L266" i="2"/>
  <c r="N52" i="2"/>
  <c r="N200" i="2"/>
  <c r="N268" i="2"/>
  <c r="M140" i="2"/>
  <c r="M141" i="2"/>
  <c r="M101" i="2" s="1"/>
  <c r="N84" i="2"/>
  <c r="N42" i="2" s="1"/>
  <c r="N145" i="2"/>
  <c r="N129" i="2"/>
  <c r="N15" i="2"/>
  <c r="N18" i="2" s="1"/>
  <c r="L101" i="2"/>
  <c r="L146" i="2"/>
  <c r="L147" i="2" s="1"/>
  <c r="L150" i="2" s="1"/>
  <c r="L267" i="2" s="1"/>
  <c r="L43" i="2"/>
  <c r="I21" i="2"/>
  <c r="I19" i="4"/>
  <c r="I20" i="4" s="1"/>
  <c r="H21" i="2"/>
  <c r="H26" i="2" s="1"/>
  <c r="H30" i="2" s="1"/>
  <c r="H22" i="4" s="1"/>
  <c r="H23" i="4" s="1"/>
  <c r="H19" i="4"/>
  <c r="H20" i="4" s="1"/>
  <c r="N108" i="2"/>
  <c r="N63" i="2" s="1"/>
  <c r="M63" i="2"/>
  <c r="N86" i="2"/>
  <c r="N44" i="2" s="1"/>
  <c r="M44" i="2"/>
  <c r="N103" i="2"/>
  <c r="M47" i="2"/>
  <c r="N93" i="2"/>
  <c r="N56" i="2" s="1"/>
  <c r="M56" i="2"/>
  <c r="M57" i="2" s="1"/>
  <c r="M29" i="4" s="1"/>
  <c r="N201" i="2" l="1"/>
  <c r="N266" i="2"/>
  <c r="N20" i="2"/>
  <c r="M201" i="2"/>
  <c r="M266" i="2"/>
  <c r="M20" i="2"/>
  <c r="L20" i="2"/>
  <c r="L201" i="2"/>
  <c r="J21" i="2"/>
  <c r="J41" i="2"/>
  <c r="J90" i="2"/>
  <c r="J94" i="2" s="1"/>
  <c r="K199" i="2"/>
  <c r="K202" i="2" s="1"/>
  <c r="K21" i="2"/>
  <c r="K41" i="2"/>
  <c r="M85" i="2"/>
  <c r="M43" i="2" s="1"/>
  <c r="M146" i="2"/>
  <c r="M147" i="2" s="1"/>
  <c r="M150" i="2" s="1"/>
  <c r="M267" i="2" s="1"/>
  <c r="M45" i="2"/>
  <c r="M104" i="2"/>
  <c r="N141" i="2"/>
  <c r="N140" i="2"/>
  <c r="N85" i="2" s="1"/>
  <c r="N43" i="2" s="1"/>
  <c r="L104" i="2"/>
  <c r="L45" i="2"/>
  <c r="N57" i="2"/>
  <c r="N29" i="4" s="1"/>
  <c r="N19" i="4"/>
  <c r="N20" i="4" s="1"/>
  <c r="I26" i="2"/>
  <c r="I30" i="2" s="1"/>
  <c r="I22" i="4" s="1"/>
  <c r="I23" i="4" s="1"/>
  <c r="I249" i="2"/>
  <c r="I251" i="2" s="1"/>
  <c r="I253" i="2" s="1"/>
  <c r="N47" i="2"/>
  <c r="H134" i="2"/>
  <c r="H146" i="2"/>
  <c r="H147" i="2" s="1"/>
  <c r="I146" i="2"/>
  <c r="I147" i="2" s="1"/>
  <c r="N41" i="2" l="1"/>
  <c r="N21" i="2"/>
  <c r="M21" i="2"/>
  <c r="M41" i="2"/>
  <c r="L21" i="2"/>
  <c r="L41" i="2"/>
  <c r="J261" i="2"/>
  <c r="J262" i="2" s="1"/>
  <c r="J263" i="2" s="1"/>
  <c r="J265" i="2" s="1"/>
  <c r="J249" i="2"/>
  <c r="J251" i="2" s="1"/>
  <c r="L199" i="2"/>
  <c r="L202" i="2" s="1"/>
  <c r="K90" i="2"/>
  <c r="K94" i="2" s="1"/>
  <c r="K249" i="2"/>
  <c r="K251" i="2" s="1"/>
  <c r="K261" i="2"/>
  <c r="K262" i="2" s="1"/>
  <c r="K263" i="2" s="1"/>
  <c r="K265" i="2" s="1"/>
  <c r="K269" i="2" s="1"/>
  <c r="N146" i="2"/>
  <c r="N147" i="2" s="1"/>
  <c r="N150" i="2" s="1"/>
  <c r="N267" i="2" s="1"/>
  <c r="N101" i="2"/>
  <c r="I150" i="2"/>
  <c r="J150" i="2"/>
  <c r="J267" i="2" s="1"/>
  <c r="L249" i="2" l="1"/>
  <c r="L251" i="2" s="1"/>
  <c r="L261" i="2"/>
  <c r="L262" i="2" s="1"/>
  <c r="L263" i="2" s="1"/>
  <c r="L265" i="2" s="1"/>
  <c r="L269" i="2" s="1"/>
  <c r="N249" i="2"/>
  <c r="N251" i="2" s="1"/>
  <c r="N261" i="2"/>
  <c r="N262" i="2" s="1"/>
  <c r="N263" i="2" s="1"/>
  <c r="N265" i="2" s="1"/>
  <c r="N269" i="2" s="1"/>
  <c r="M261" i="2"/>
  <c r="M262" i="2" s="1"/>
  <c r="M263" i="2" s="1"/>
  <c r="M265" i="2" s="1"/>
  <c r="M269" i="2" s="1"/>
  <c r="M249" i="2"/>
  <c r="M251" i="2" s="1"/>
  <c r="M199" i="2"/>
  <c r="M202" i="2" s="1"/>
  <c r="L90" i="2"/>
  <c r="L94" i="2" s="1"/>
  <c r="K33" i="4"/>
  <c r="K275" i="2"/>
  <c r="K277" i="2" s="1"/>
  <c r="K281" i="2" s="1"/>
  <c r="J269" i="2"/>
  <c r="N104" i="2"/>
  <c r="N45" i="2"/>
  <c r="L33" i="4" l="1"/>
  <c r="L275" i="2"/>
  <c r="L277" i="2" s="1"/>
  <c r="L281" i="2" s="1"/>
  <c r="M33" i="4"/>
  <c r="M275" i="2"/>
  <c r="M277" i="2" s="1"/>
  <c r="M281" i="2" s="1"/>
  <c r="N199" i="2"/>
  <c r="N202" i="2" s="1"/>
  <c r="N90" i="2" s="1"/>
  <c r="N94" i="2" s="1"/>
  <c r="M90" i="2"/>
  <c r="M94" i="2" s="1"/>
  <c r="J275" i="2"/>
  <c r="J277" i="2" s="1"/>
  <c r="J281" i="2" s="1"/>
  <c r="J33" i="4"/>
  <c r="N33" i="4"/>
  <c r="N275" i="2"/>
  <c r="N276" i="2" s="1"/>
  <c r="N277" i="2" s="1"/>
  <c r="N281" i="2" s="1"/>
  <c r="J213" i="2"/>
  <c r="J107" i="2" s="1"/>
  <c r="J243" i="2" s="1"/>
  <c r="F285" i="2" l="1"/>
  <c r="J216" i="2"/>
  <c r="J25" i="2" s="1"/>
  <c r="J26" i="2" s="1"/>
  <c r="K211" i="2"/>
  <c r="K213" i="2" s="1"/>
  <c r="J62" i="2"/>
  <c r="J109" i="2"/>
  <c r="K216" i="2"/>
  <c r="K25" i="2" s="1"/>
  <c r="K26" i="2" s="1"/>
  <c r="K28" i="2" s="1"/>
  <c r="G15" i="5" l="1"/>
  <c r="I15" i="5" s="1"/>
  <c r="O15" i="3"/>
  <c r="F287" i="2"/>
  <c r="F289" i="2" s="1"/>
  <c r="E294" i="2"/>
  <c r="J28" i="2"/>
  <c r="J30" i="2" s="1"/>
  <c r="K107" i="2"/>
  <c r="K243" i="2" s="1"/>
  <c r="L211" i="2"/>
  <c r="K30" i="2"/>
  <c r="I32" i="5" l="1"/>
  <c r="G32" i="5" s="1"/>
  <c r="G91" i="4" s="1"/>
  <c r="I31" i="5"/>
  <c r="G31" i="5" s="1"/>
  <c r="H91" i="4" s="1"/>
  <c r="I33" i="5"/>
  <c r="G33" i="5" s="1"/>
  <c r="E91" i="4" s="1"/>
  <c r="I30" i="5"/>
  <c r="G30" i="5" s="1"/>
  <c r="J232" i="2"/>
  <c r="J233" i="2" s="1"/>
  <c r="J65" i="2" s="1"/>
  <c r="J66" i="2" s="1"/>
  <c r="J30" i="4" s="1"/>
  <c r="J22" i="4"/>
  <c r="J23" i="4" s="1"/>
  <c r="J40" i="2"/>
  <c r="J48" i="2" s="1"/>
  <c r="J28" i="4" s="1"/>
  <c r="K109" i="2"/>
  <c r="K62" i="2"/>
  <c r="L213" i="2"/>
  <c r="L216" i="2" s="1"/>
  <c r="L25" i="2" s="1"/>
  <c r="L26" i="2" s="1"/>
  <c r="L28" i="2" s="1"/>
  <c r="K232" i="2"/>
  <c r="K233" i="2" s="1"/>
  <c r="K65" i="2" s="1"/>
  <c r="K40" i="2"/>
  <c r="K48" i="2" s="1"/>
  <c r="K22" i="4"/>
  <c r="K23" i="4" s="1"/>
  <c r="F91" i="4" l="1"/>
  <c r="K66" i="2"/>
  <c r="K30" i="4" s="1"/>
  <c r="L30" i="2"/>
  <c r="M211" i="2"/>
  <c r="L107" i="2"/>
  <c r="L243" i="2" s="1"/>
  <c r="J69" i="2"/>
  <c r="J70" i="2" s="1"/>
  <c r="K28" i="4"/>
  <c r="J31" i="4"/>
  <c r="J234" i="2"/>
  <c r="K31" i="4" l="1"/>
  <c r="K69" i="2"/>
  <c r="L232" i="2"/>
  <c r="L233" i="2" s="1"/>
  <c r="L65" i="2" s="1"/>
  <c r="L40" i="2"/>
  <c r="L48" i="2" s="1"/>
  <c r="L22" i="4"/>
  <c r="L23" i="4" s="1"/>
  <c r="L109" i="2"/>
  <c r="L62" i="2"/>
  <c r="M213" i="2"/>
  <c r="M216" i="2" s="1"/>
  <c r="M25" i="2" s="1"/>
  <c r="M26" i="2" s="1"/>
  <c r="K231" i="2"/>
  <c r="K234" i="2" s="1"/>
  <c r="J113" i="2"/>
  <c r="J114" i="2" s="1"/>
  <c r="J82" i="2"/>
  <c r="J244" i="2" s="1"/>
  <c r="J245" i="2" s="1"/>
  <c r="K68" i="2"/>
  <c r="M28" i="2" l="1"/>
  <c r="M30" i="2" s="1"/>
  <c r="K70" i="2"/>
  <c r="K82" i="2" s="1"/>
  <c r="K244" i="2" s="1"/>
  <c r="K245" i="2" s="1"/>
  <c r="L28" i="4"/>
  <c r="N211" i="2"/>
  <c r="M107" i="2"/>
  <c r="M243" i="2" s="1"/>
  <c r="L66" i="2"/>
  <c r="L30" i="4" s="1"/>
  <c r="J87" i="2"/>
  <c r="J96" i="2" s="1"/>
  <c r="J246" i="2"/>
  <c r="J247" i="2" s="1"/>
  <c r="J116" i="2"/>
  <c r="K113" i="2"/>
  <c r="K114" i="2" s="1"/>
  <c r="L231" i="2"/>
  <c r="L234" i="2" s="1"/>
  <c r="M232" i="2" l="1"/>
  <c r="M233" i="2" s="1"/>
  <c r="M65" i="2" s="1"/>
  <c r="M40" i="2"/>
  <c r="M48" i="2" s="1"/>
  <c r="M28" i="4" s="1"/>
  <c r="M22" i="4"/>
  <c r="M23" i="4" s="1"/>
  <c r="L68" i="2"/>
  <c r="M62" i="2"/>
  <c r="M109" i="2"/>
  <c r="N213" i="2"/>
  <c r="N107" i="2" s="1"/>
  <c r="N243" i="2" s="1"/>
  <c r="L31" i="4"/>
  <c r="L69" i="2"/>
  <c r="L113" i="2"/>
  <c r="L114" i="2" s="1"/>
  <c r="M231" i="2"/>
  <c r="K246" i="2"/>
  <c r="K247" i="2" s="1"/>
  <c r="K116" i="2"/>
  <c r="J119" i="2"/>
  <c r="J253" i="2"/>
  <c r="K87" i="2"/>
  <c r="K96" i="2" s="1"/>
  <c r="M234" i="2" l="1"/>
  <c r="M66" i="2"/>
  <c r="M30" i="4" s="1"/>
  <c r="M31" i="4" s="1"/>
  <c r="L70" i="2"/>
  <c r="L82" i="2" s="1"/>
  <c r="L244" i="2" s="1"/>
  <c r="L245" i="2" s="1"/>
  <c r="N216" i="2"/>
  <c r="N25" i="2" s="1"/>
  <c r="N26" i="2" s="1"/>
  <c r="K119" i="2"/>
  <c r="K253" i="2"/>
  <c r="N109" i="2"/>
  <c r="N62" i="2"/>
  <c r="L246" i="2"/>
  <c r="L116" i="2"/>
  <c r="N231" i="2" l="1"/>
  <c r="M113" i="2"/>
  <c r="M114" i="2" s="1"/>
  <c r="M69" i="2"/>
  <c r="N28" i="2"/>
  <c r="N30" i="2" s="1"/>
  <c r="L247" i="2"/>
  <c r="L253" i="2" s="1"/>
  <c r="M68" i="2"/>
  <c r="L87" i="2"/>
  <c r="L96" i="2" s="1"/>
  <c r="L119" i="2" s="1"/>
  <c r="M246" i="2" l="1"/>
  <c r="M116" i="2"/>
  <c r="M70" i="2"/>
  <c r="M82" i="2" s="1"/>
  <c r="M244" i="2" s="1"/>
  <c r="M245" i="2" s="1"/>
  <c r="N22" i="4"/>
  <c r="N23" i="4" s="1"/>
  <c r="N232" i="2"/>
  <c r="N40" i="2"/>
  <c r="N48" i="2" s="1"/>
  <c r="N28" i="4" s="1"/>
  <c r="M247" i="2" l="1"/>
  <c r="M253" i="2" s="1"/>
  <c r="N233" i="2"/>
  <c r="N68" i="2"/>
  <c r="M87" i="2"/>
  <c r="M96" i="2" s="1"/>
  <c r="M119" i="2" s="1"/>
  <c r="N65" i="2" l="1"/>
  <c r="N66" i="2" s="1"/>
  <c r="N234" i="2"/>
  <c r="N113" i="2" s="1"/>
  <c r="N114" i="2" s="1"/>
  <c r="N30" i="4" l="1"/>
  <c r="N31" i="4" s="1"/>
  <c r="N69" i="2"/>
  <c r="N70" i="2" s="1"/>
  <c r="N82" i="2" s="1"/>
  <c r="N116" i="2"/>
  <c r="N246" i="2"/>
  <c r="N87" i="2" l="1"/>
  <c r="N96" i="2" s="1"/>
  <c r="N119" i="2" s="1"/>
  <c r="N244" i="2"/>
  <c r="N245" i="2" s="1"/>
  <c r="N247" i="2" s="1"/>
  <c r="N25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<sst xmlns="http://schemas.openxmlformats.org/spreadsheetml/2006/main" count="390" uniqueCount="255">
  <si>
    <t>Table of Contents:</t>
  </si>
  <si>
    <t>Outputs</t>
  </si>
  <si>
    <t>Inputs</t>
  </si>
  <si>
    <t>Income Statement</t>
  </si>
  <si>
    <t>Revenue</t>
  </si>
  <si>
    <t>COGS</t>
  </si>
  <si>
    <t>Gross Profit</t>
  </si>
  <si>
    <t xml:space="preserve">SG&amp;A </t>
  </si>
  <si>
    <t>EBITDA</t>
  </si>
  <si>
    <t>Depreciation and Amortization</t>
  </si>
  <si>
    <t>EBIT</t>
  </si>
  <si>
    <t>Interest Income</t>
  </si>
  <si>
    <t>Interest Expense</t>
  </si>
  <si>
    <t>EBT</t>
  </si>
  <si>
    <t>Provision for Taxes</t>
  </si>
  <si>
    <t>Net Income</t>
  </si>
  <si>
    <t>All figures in INR Crores unless stated</t>
  </si>
  <si>
    <t>Exceptional Items</t>
  </si>
  <si>
    <t>Balance Sheet</t>
  </si>
  <si>
    <t>ASSETS</t>
  </si>
  <si>
    <t>Current Assets</t>
  </si>
  <si>
    <t>Cash and Cash Equivalents</t>
  </si>
  <si>
    <t>Short-Term Investments</t>
  </si>
  <si>
    <t>Accounts Recievables</t>
  </si>
  <si>
    <t>Inventory</t>
  </si>
  <si>
    <t>Other Current Assets</t>
  </si>
  <si>
    <t>Total Current Assets</t>
  </si>
  <si>
    <t>Non-Current Assets</t>
  </si>
  <si>
    <t>Property, Plant &amp; Equipment</t>
  </si>
  <si>
    <t>Intangible Assets</t>
  </si>
  <si>
    <t>Investments in Long Term Assets</t>
  </si>
  <si>
    <t>Other Long Term Financial Assets</t>
  </si>
  <si>
    <t>Total Non-Current Assets</t>
  </si>
  <si>
    <t>Total Assets</t>
  </si>
  <si>
    <t>LIABILITIES &amp; EQUITY</t>
  </si>
  <si>
    <t>Current Liabilities</t>
  </si>
  <si>
    <t>Accounts Payables</t>
  </si>
  <si>
    <t>Current Debt</t>
  </si>
  <si>
    <t>Other Current Liabilities</t>
  </si>
  <si>
    <t>Total Current Liabilities</t>
  </si>
  <si>
    <t>Non-Current Liabilities</t>
  </si>
  <si>
    <t>Long Term Debt</t>
  </si>
  <si>
    <t>Other Non-Current Liabilities</t>
  </si>
  <si>
    <t>Total Non-Current Liabilities</t>
  </si>
  <si>
    <t>Equity</t>
  </si>
  <si>
    <t>Equity Share Capital</t>
  </si>
  <si>
    <t>Other Equity</t>
  </si>
  <si>
    <t>Total Shareholders' Equity</t>
  </si>
  <si>
    <t>Total Liabilities and Equity</t>
  </si>
  <si>
    <t>Cash Flow Statement</t>
  </si>
  <si>
    <t>CASH FROM OPERATIONS</t>
  </si>
  <si>
    <t>Depreciation &amp; Amortization</t>
  </si>
  <si>
    <t>Change in Accounts Recievable</t>
  </si>
  <si>
    <t>Change in Inventory</t>
  </si>
  <si>
    <t>Change in Other Current Assets</t>
  </si>
  <si>
    <t>Change in Accounts Payable</t>
  </si>
  <si>
    <t>Change in Other Payables</t>
  </si>
  <si>
    <t>Change in Other Current Liabilities</t>
  </si>
  <si>
    <t>Cash from Operating Activities</t>
  </si>
  <si>
    <t>CASH FROM INVESTING</t>
  </si>
  <si>
    <t>Capital Expenditure</t>
  </si>
  <si>
    <t>Change in Intangible Assets</t>
  </si>
  <si>
    <t>Change in Short Term Investments</t>
  </si>
  <si>
    <t>Change in Investments in Long Term Assets</t>
  </si>
  <si>
    <t>Change in Other Non-Current Assets</t>
  </si>
  <si>
    <t>Cash from Investing Activities</t>
  </si>
  <si>
    <t>CASH FROM FINANCING</t>
  </si>
  <si>
    <t>Change in Current Debt</t>
  </si>
  <si>
    <t>Change in Long-Term Debt</t>
  </si>
  <si>
    <t>Change in Equity Share Capital</t>
  </si>
  <si>
    <t>Cash from Financing Activities</t>
  </si>
  <si>
    <t>Beginning Cash Balance</t>
  </si>
  <si>
    <t>Change in Cash</t>
  </si>
  <si>
    <t>Ending Cash Balance</t>
  </si>
  <si>
    <t>Balance Sheet Check</t>
  </si>
  <si>
    <t>Assumptions and Drivers</t>
  </si>
  <si>
    <t>Revenue Growth</t>
  </si>
  <si>
    <t>Best Case</t>
  </si>
  <si>
    <t>Base Case</t>
  </si>
  <si>
    <t>Worst Case</t>
  </si>
  <si>
    <t>SG&amp;A</t>
  </si>
  <si>
    <t>Amounts Per Day</t>
  </si>
  <si>
    <t xml:space="preserve">Accounts Recievable </t>
  </si>
  <si>
    <t>Accounts Payable</t>
  </si>
  <si>
    <t>(as % of revenue)</t>
  </si>
  <si>
    <t>Working Capital Schedule</t>
  </si>
  <si>
    <t>Days in Period</t>
  </si>
  <si>
    <t>Accounts Receivable</t>
  </si>
  <si>
    <t>(Days)</t>
  </si>
  <si>
    <t>Total Amounts</t>
  </si>
  <si>
    <t>Net Working Capital</t>
  </si>
  <si>
    <t>Cash From Working Capital</t>
  </si>
  <si>
    <t>Depreciation and Amortization Schedule</t>
  </si>
  <si>
    <t>Capital Expeniture</t>
  </si>
  <si>
    <t>Existing Asset Depreciation</t>
  </si>
  <si>
    <t>Years</t>
  </si>
  <si>
    <t>Useful Life : Existing Assets</t>
  </si>
  <si>
    <t>Yr1</t>
  </si>
  <si>
    <t>Yr2</t>
  </si>
  <si>
    <t>Yr3</t>
  </si>
  <si>
    <t>Yr4</t>
  </si>
  <si>
    <t>PP&amp;E at end of 2025</t>
  </si>
  <si>
    <t>Percentage of Full Year</t>
  </si>
  <si>
    <t>Yr5</t>
  </si>
  <si>
    <t>New Asset Depreciation</t>
  </si>
  <si>
    <t>Useful Life: New Assets</t>
  </si>
  <si>
    <t>First Year Accounting Depreciation</t>
  </si>
  <si>
    <t>Year</t>
  </si>
  <si>
    <t>Life</t>
  </si>
  <si>
    <t>Per Yr</t>
  </si>
  <si>
    <t>Capex</t>
  </si>
  <si>
    <t>Total Asset Depreciation</t>
  </si>
  <si>
    <t>Existing Assets</t>
  </si>
  <si>
    <t>New Assets</t>
  </si>
  <si>
    <t>Total Depreciation</t>
  </si>
  <si>
    <t>Other Inputs</t>
  </si>
  <si>
    <t>Other Annual Inputs</t>
  </si>
  <si>
    <t>Inflation Rate</t>
  </si>
  <si>
    <t>Term Debt</t>
  </si>
  <si>
    <t>Common Equity</t>
  </si>
  <si>
    <t>Increase / (Decrease)</t>
  </si>
  <si>
    <t xml:space="preserve">Beginning </t>
  </si>
  <si>
    <t>Depreciation</t>
  </si>
  <si>
    <t>Ending</t>
  </si>
  <si>
    <t>Tax Rate</t>
  </si>
  <si>
    <t>Debt Schedule</t>
  </si>
  <si>
    <t>Interest Rate</t>
  </si>
  <si>
    <t>Beginning Balance</t>
  </si>
  <si>
    <t>Ending Balance</t>
  </si>
  <si>
    <t>Equity Schedule</t>
  </si>
  <si>
    <t>Increase / Decrease</t>
  </si>
  <si>
    <t>Other Shareholder Equity (Retained Earnings)</t>
  </si>
  <si>
    <t>Dividends</t>
  </si>
  <si>
    <t>Dividend Payout Ratio</t>
  </si>
  <si>
    <t>Dividends Paid</t>
  </si>
  <si>
    <t>Change in Other Non-Current Liabilities</t>
  </si>
  <si>
    <t>Dashboard</t>
  </si>
  <si>
    <t>INCOME STATEMENT</t>
  </si>
  <si>
    <t>Model Switch:</t>
  </si>
  <si>
    <t>EBITDA Margin</t>
  </si>
  <si>
    <t>Net Income Margin</t>
  </si>
  <si>
    <t>CASH FLOW STATEMENT</t>
  </si>
  <si>
    <t>Cash From Operating Activities</t>
  </si>
  <si>
    <t>Cash From Investing Activities</t>
  </si>
  <si>
    <t>Cash From Financing Activities</t>
  </si>
  <si>
    <t xml:space="preserve"> </t>
  </si>
  <si>
    <t>RETURN ON INVESTED CAPITAL</t>
  </si>
  <si>
    <t>Long-Term Debt</t>
  </si>
  <si>
    <t>Shareholders' Equity</t>
  </si>
  <si>
    <t>Invested Capital</t>
  </si>
  <si>
    <t>NOPAT</t>
  </si>
  <si>
    <t>Return on Invested Capital</t>
  </si>
  <si>
    <t xml:space="preserve">   </t>
  </si>
  <si>
    <t xml:space="preserve">  </t>
  </si>
  <si>
    <t>Discounted Cash Flow Analysis</t>
  </si>
  <si>
    <t>Unlevered Taxes</t>
  </si>
  <si>
    <t>Net Operating Profit After Tax (NOPAT)</t>
  </si>
  <si>
    <t>Change in Working Capital</t>
  </si>
  <si>
    <t>Unlevered Free Cash Flow</t>
  </si>
  <si>
    <t>Weighted Average Cost of Capital (WACC)</t>
  </si>
  <si>
    <t>Average</t>
  </si>
  <si>
    <t>Debt/</t>
  </si>
  <si>
    <t>Levered</t>
  </si>
  <si>
    <t>Unlevered</t>
  </si>
  <si>
    <t>Name</t>
  </si>
  <si>
    <t>Region</t>
  </si>
  <si>
    <t>Debt</t>
  </si>
  <si>
    <t>Capital</t>
  </si>
  <si>
    <t>Median</t>
  </si>
  <si>
    <t xml:space="preserve">Tax Rate </t>
  </si>
  <si>
    <t xml:space="preserve">Beta </t>
  </si>
  <si>
    <t>Beta</t>
  </si>
  <si>
    <t>Max Healthcare</t>
  </si>
  <si>
    <t>India</t>
  </si>
  <si>
    <t>Fortis Heathcare</t>
  </si>
  <si>
    <t>Aster DM Health</t>
  </si>
  <si>
    <t>Narayana Hrudaya</t>
  </si>
  <si>
    <t>Cash</t>
  </si>
  <si>
    <t>Net Debt</t>
  </si>
  <si>
    <t>Global Health</t>
  </si>
  <si>
    <t>Risk Premium for Equity</t>
  </si>
  <si>
    <t>Market Risk Premium</t>
  </si>
  <si>
    <t>Average Unlevered Beta</t>
  </si>
  <si>
    <t>Levered Beta</t>
  </si>
  <si>
    <t>Equity Risk Premium</t>
  </si>
  <si>
    <t>Cost of Equity</t>
  </si>
  <si>
    <t>Risk Free Rate</t>
  </si>
  <si>
    <t>Country Risk Premium</t>
  </si>
  <si>
    <t>Capital Structure</t>
  </si>
  <si>
    <t>Total Debt</t>
  </si>
  <si>
    <t>Market Cap</t>
  </si>
  <si>
    <t>Total Cap</t>
  </si>
  <si>
    <t>Target</t>
  </si>
  <si>
    <t>Current</t>
  </si>
  <si>
    <t>Cost of Debt</t>
  </si>
  <si>
    <t>Pre-Tax Cost of Debt</t>
  </si>
  <si>
    <t>After-Tax Cost of Debt</t>
  </si>
  <si>
    <t>Debt/Equity</t>
  </si>
  <si>
    <t>Weighted Average Cost of Capital</t>
  </si>
  <si>
    <t>Debt Capital</t>
  </si>
  <si>
    <t>Equity Capital</t>
  </si>
  <si>
    <t>Weight</t>
  </si>
  <si>
    <t>Cost</t>
  </si>
  <si>
    <t>Shares Outstanding</t>
  </si>
  <si>
    <t>Terminal Growth Rate</t>
  </si>
  <si>
    <t>WACC</t>
  </si>
  <si>
    <t>Terminal Value</t>
  </si>
  <si>
    <t>Total Cash Flows</t>
  </si>
  <si>
    <t>Discounting Period</t>
  </si>
  <si>
    <t>Present Values of Cash Flows</t>
  </si>
  <si>
    <t>EQUITY VALUE</t>
  </si>
  <si>
    <t>Enterprise Value</t>
  </si>
  <si>
    <t>Less: Net Debt</t>
  </si>
  <si>
    <t>Equity Value</t>
  </si>
  <si>
    <t>(millions)</t>
  </si>
  <si>
    <t>(per unit share)</t>
  </si>
  <si>
    <t>All figures in INR millions unless stated</t>
  </si>
  <si>
    <t>All Figures in INR millions unless stated</t>
  </si>
  <si>
    <t>Unlevered Free Cash Flows</t>
  </si>
  <si>
    <t>Growth</t>
  </si>
  <si>
    <t>Total Shares Outstanding</t>
  </si>
  <si>
    <t>Inputs Taken</t>
  </si>
  <si>
    <t>Scenario Analysis</t>
  </si>
  <si>
    <t>Enterprise</t>
  </si>
  <si>
    <t>Value</t>
  </si>
  <si>
    <t>Sensitivity Analysis</t>
  </si>
  <si>
    <t>Terminal Growth</t>
  </si>
  <si>
    <t>DCF Valuation</t>
  </si>
  <si>
    <t>Equity per Share</t>
  </si>
  <si>
    <t>Current Share Price</t>
  </si>
  <si>
    <t>Premium/(Discount)</t>
  </si>
  <si>
    <t>Comprative Trading Analysis</t>
  </si>
  <si>
    <t>All figures in INR Millions unless stated</t>
  </si>
  <si>
    <t>Peer Companies</t>
  </si>
  <si>
    <t>Share</t>
  </si>
  <si>
    <t>Price</t>
  </si>
  <si>
    <t xml:space="preserve">Enterprise </t>
  </si>
  <si>
    <t>EV/</t>
  </si>
  <si>
    <t>EPS</t>
  </si>
  <si>
    <t>P/E</t>
  </si>
  <si>
    <t>(inr/share)</t>
  </si>
  <si>
    <t>Apollo Hospitals</t>
  </si>
  <si>
    <t>(3 Years)</t>
  </si>
  <si>
    <t>Target Company Valuation</t>
  </si>
  <si>
    <t xml:space="preserve">Maximum </t>
  </si>
  <si>
    <t>Minimum</t>
  </si>
  <si>
    <t>Valuation Summary</t>
  </si>
  <si>
    <t>Comparable Trading Analysis</t>
  </si>
  <si>
    <t>DCF Valuation Analysis</t>
  </si>
  <si>
    <t>Low</t>
  </si>
  <si>
    <t>Delta</t>
  </si>
  <si>
    <t>High</t>
  </si>
  <si>
    <t>Mid</t>
  </si>
  <si>
    <t>Full Valuation Model</t>
  </si>
  <si>
    <t xml:space="preserve">Comparative Valuation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</si>
</sst>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\A"/>
    <numFmt numFmtId="165" formatCode="0\F"/>
    <numFmt numFmtId="166" formatCode="_(#,##0_);\(#,##0\);_(&quot;–&quot;_);_(@_)"/>
    <numFmt numFmtId="167" formatCode="_(#,##0.00_);\(#,##0.00\);_(&quot;–&quot;_);_(@_)"/>
    <numFmt numFmtId="168" formatCode="_(#,##0.0_);\(#,##0.0\);_(&quot;–&quot;_);_(@_)"/>
    <numFmt numFmtId="169" formatCode="0.0%"/>
    <numFmt numFmtId="170" formatCode="0.0"/>
    <numFmt numFmtId="171" formatCode="&quot;Year&quot;\ 0"/>
    <numFmt numFmtId="172" formatCode="[=1]&quot;☑️&quot;_);[=0]&quot;⬜&quot;_)"/>
    <numFmt numFmtId="173" formatCode="#,##0_);\(#,##0\);\-"/>
    <numFmt numFmtId="174" formatCode="0.0\x"/>
  </numFmts>
  <fonts count="27" x14ac:knownFonts="1">
    <font>
      <sz val="11"/>
      <color theme="1"/>
      <name val="Aptos"/>
      <family val="2"/>
    </font>
    <font>
      <b/>
      <sz val="11"/>
      <color theme="1"/>
      <name val="Aptos"/>
      <family val="2"/>
    </font>
    <font>
      <u/>
      <sz val="11"/>
      <color theme="10"/>
      <name val="Aptos"/>
      <family val="2"/>
    </font>
    <font>
      <b/>
      <sz val="24"/>
      <color rgb="FF0F2D70"/>
      <name val="Aptos"/>
      <family val="2"/>
    </font>
    <font>
      <b/>
      <sz val="16"/>
      <color rgb="FF0F2D70"/>
      <name val="Aptos"/>
      <family val="2"/>
    </font>
    <font>
      <b/>
      <sz val="12"/>
      <color rgb="FF0F2D70"/>
      <name val="Aptos"/>
      <family val="2"/>
    </font>
    <font>
      <sz val="9"/>
      <color theme="1"/>
      <name val="Aptos"/>
      <family val="2"/>
    </font>
    <font>
      <b/>
      <sz val="9"/>
      <color theme="1"/>
      <name val="Aptos"/>
      <family val="2"/>
    </font>
    <font>
      <b/>
      <sz val="14"/>
      <color theme="0"/>
      <name val="Aptos"/>
      <family val="2"/>
    </font>
    <font>
      <i/>
      <sz val="10"/>
      <color theme="1"/>
      <name val="Aptos"/>
      <family val="2"/>
    </font>
    <font>
      <b/>
      <sz val="11"/>
      <color rgb="FF0F2D70"/>
      <name val="Aptos"/>
      <family val="2"/>
    </font>
    <font>
      <sz val="14"/>
      <color theme="0"/>
      <name val="Aptos"/>
      <family val="2"/>
    </font>
    <font>
      <sz val="11"/>
      <color theme="4"/>
      <name val="Aptos"/>
      <family val="2"/>
    </font>
    <font>
      <i/>
      <sz val="9"/>
      <color theme="1"/>
      <name val="Aptos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i/>
      <sz val="11"/>
      <color theme="1"/>
      <name val="Aptos"/>
      <family val="2"/>
    </font>
    <font>
      <b/>
      <i/>
      <sz val="11"/>
      <color rgb="FF000000"/>
      <name val="Aptos"/>
      <family val="2"/>
    </font>
    <font>
      <sz val="11"/>
      <color theme="0"/>
      <name val="Aptos"/>
      <family val="2"/>
    </font>
    <font>
      <sz val="11"/>
      <name val="Open Sans"/>
      <family val="2"/>
    </font>
    <font>
      <sz val="11"/>
      <color theme="1"/>
      <name val="Open Sans"/>
      <family val="2"/>
    </font>
    <font>
      <sz val="11"/>
      <color theme="1"/>
      <name val="Arial Narrow"/>
      <family val="2"/>
    </font>
    <font>
      <sz val="10"/>
      <color theme="0"/>
      <name val="Open Sans"/>
      <family val="2"/>
    </font>
    <font>
      <sz val="10"/>
      <color rgb="FF000000"/>
      <name val="Open Sans"/>
      <family val="2"/>
    </font>
    <font>
      <sz val="11"/>
      <color theme="0"/>
      <name val="Open Sans"/>
      <family val="2"/>
    </font>
    <font>
      <b/>
      <sz val="10"/>
      <color theme="0"/>
      <name val="Open Sans"/>
      <family val="2"/>
    </font>
    <font>
      <sz val="8"/>
      <color theme="0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0F2D70"/>
        <bgColor indexed="64"/>
      </patternFill>
    </fill>
    <fill>
      <patternFill patternType="solid">
        <fgColor theme="0" tint="-4.9989318521683403E-2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1" fillId="0" borderId="0"/>
  </cellStyleXfs>
  <cellXfs count="22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4" xfId="0" applyFont="1" applyBorder="1" applyAlignment="1">
      <alignment horizontal="left" indent="4"/>
    </xf>
    <xf numFmtId="0" fontId="4" fillId="0" borderId="4" xfId="0" applyFont="1" applyBorder="1" applyAlignment="1">
      <alignment horizontal="left" indent="4"/>
    </xf>
    <xf numFmtId="0" fontId="2" fillId="0" borderId="0" xfId="1"/>
    <xf numFmtId="0" fontId="0" fillId="0" borderId="7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2" borderId="0" xfId="0" applyFill="1"/>
    <xf numFmtId="0" fontId="8" fillId="2" borderId="0" xfId="0" applyFont="1" applyFill="1"/>
    <xf numFmtId="0" fontId="1" fillId="0" borderId="0" xfId="0" applyFont="1"/>
    <xf numFmtId="0" fontId="9" fillId="0" borderId="0" xfId="0" applyFont="1"/>
    <xf numFmtId="164" fontId="10" fillId="0" borderId="17" xfId="0" applyNumberFormat="1" applyFont="1" applyBorder="1"/>
    <xf numFmtId="165" fontId="1" fillId="0" borderId="18" xfId="0" applyNumberFormat="1" applyFont="1" applyBorder="1"/>
    <xf numFmtId="0" fontId="1" fillId="0" borderId="17" xfId="0" applyFont="1" applyBorder="1"/>
    <xf numFmtId="0" fontId="0" fillId="0" borderId="17" xfId="0" applyBorder="1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1" fillId="2" borderId="0" xfId="0" applyFont="1" applyFill="1"/>
    <xf numFmtId="0" fontId="11" fillId="2" borderId="0" xfId="0" applyFont="1" applyFill="1" applyProtection="1">
      <protection locked="0"/>
    </xf>
    <xf numFmtId="0" fontId="0" fillId="0" borderId="6" xfId="0" applyBorder="1"/>
    <xf numFmtId="0" fontId="0" fillId="0" borderId="11" xfId="0" applyBorder="1"/>
    <xf numFmtId="10" fontId="12" fillId="0" borderId="6" xfId="0" applyNumberFormat="1" applyFont="1" applyBorder="1"/>
    <xf numFmtId="10" fontId="12" fillId="0" borderId="7" xfId="0" applyNumberFormat="1" applyFont="1" applyBorder="1"/>
    <xf numFmtId="10" fontId="12" fillId="0" borderId="8" xfId="0" applyNumberFormat="1" applyFont="1" applyBorder="1"/>
    <xf numFmtId="10" fontId="12" fillId="0" borderId="9" xfId="0" applyNumberFormat="1" applyFont="1" applyBorder="1"/>
    <xf numFmtId="10" fontId="12" fillId="0" borderId="0" xfId="0" applyNumberFormat="1" applyFont="1"/>
    <xf numFmtId="10" fontId="12" fillId="0" borderId="10" xfId="0" applyNumberFormat="1" applyFont="1" applyBorder="1"/>
    <xf numFmtId="10" fontId="12" fillId="0" borderId="11" xfId="0" applyNumberFormat="1" applyFont="1" applyBorder="1"/>
    <xf numFmtId="10" fontId="12" fillId="0" borderId="12" xfId="0" applyNumberFormat="1" applyFont="1" applyBorder="1"/>
    <xf numFmtId="10" fontId="12" fillId="0" borderId="13" xfId="0" applyNumberFormat="1" applyFont="1" applyBorder="1"/>
    <xf numFmtId="0" fontId="13" fillId="0" borderId="0" xfId="0" applyFont="1"/>
    <xf numFmtId="0" fontId="12" fillId="0" borderId="8" xfId="0" applyFont="1" applyBorder="1"/>
    <xf numFmtId="166" fontId="12" fillId="0" borderId="0" xfId="0" applyNumberFormat="1" applyFont="1"/>
    <xf numFmtId="166" fontId="14" fillId="0" borderId="0" xfId="0" applyNumberFormat="1" applyFont="1"/>
    <xf numFmtId="166" fontId="15" fillId="0" borderId="7" xfId="0" applyNumberFormat="1" applyFont="1" applyBorder="1"/>
    <xf numFmtId="9" fontId="14" fillId="0" borderId="0" xfId="0" applyNumberFormat="1" applyFont="1"/>
    <xf numFmtId="166" fontId="15" fillId="0" borderId="19" xfId="0" applyNumberFormat="1" applyFont="1" applyBorder="1"/>
    <xf numFmtId="166" fontId="15" fillId="0" borderId="20" xfId="0" applyNumberFormat="1" applyFont="1" applyBorder="1"/>
    <xf numFmtId="166" fontId="15" fillId="0" borderId="21" xfId="0" applyNumberFormat="1" applyFont="1" applyBorder="1"/>
    <xf numFmtId="166" fontId="12" fillId="0" borderId="6" xfId="0" applyNumberFormat="1" applyFont="1" applyBorder="1"/>
    <xf numFmtId="166" fontId="12" fillId="0" borderId="7" xfId="0" applyNumberFormat="1" applyFont="1" applyBorder="1"/>
    <xf numFmtId="166" fontId="12" fillId="0" borderId="8" xfId="0" applyNumberFormat="1" applyFont="1" applyBorder="1"/>
    <xf numFmtId="166" fontId="14" fillId="0" borderId="9" xfId="0" applyNumberFormat="1" applyFont="1" applyBorder="1"/>
    <xf numFmtId="166" fontId="14" fillId="0" borderId="10" xfId="0" applyNumberFormat="1" applyFont="1" applyBorder="1"/>
    <xf numFmtId="166" fontId="14" fillId="0" borderId="11" xfId="0" applyNumberFormat="1" applyFont="1" applyBorder="1"/>
    <xf numFmtId="166" fontId="14" fillId="0" borderId="12" xfId="0" applyNumberFormat="1" applyFont="1" applyBorder="1"/>
    <xf numFmtId="166" fontId="14" fillId="0" borderId="13" xfId="0" applyNumberFormat="1" applyFont="1" applyBorder="1"/>
    <xf numFmtId="166" fontId="14" fillId="0" borderId="20" xfId="0" applyNumberFormat="1" applyFont="1" applyBorder="1"/>
    <xf numFmtId="166" fontId="14" fillId="0" borderId="21" xfId="0" applyNumberFormat="1" applyFont="1" applyBorder="1"/>
    <xf numFmtId="166" fontId="14" fillId="0" borderId="22" xfId="0" applyNumberFormat="1" applyFont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indent="1"/>
    </xf>
    <xf numFmtId="166" fontId="0" fillId="0" borderId="0" xfId="0" applyNumberFormat="1"/>
    <xf numFmtId="4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166" fontId="12" fillId="0" borderId="8" xfId="0" applyNumberFormat="1" applyFont="1" applyBorder="1" applyAlignment="1">
      <alignment horizontal="right"/>
    </xf>
    <xf numFmtId="166" fontId="0" fillId="0" borderId="13" xfId="0" applyNumberFormat="1" applyBorder="1" applyAlignment="1">
      <alignment horizontal="right"/>
    </xf>
    <xf numFmtId="9" fontId="0" fillId="0" borderId="20" xfId="0" applyNumberFormat="1" applyBorder="1"/>
    <xf numFmtId="9" fontId="0" fillId="0" borderId="21" xfId="0" applyNumberFormat="1" applyBorder="1"/>
    <xf numFmtId="9" fontId="0" fillId="0" borderId="22" xfId="0" applyNumberFormat="1" applyBorder="1"/>
    <xf numFmtId="9" fontId="12" fillId="0" borderId="13" xfId="0" applyNumberFormat="1" applyFont="1" applyBorder="1"/>
    <xf numFmtId="9" fontId="14" fillId="0" borderId="20" xfId="0" applyNumberFormat="1" applyFont="1" applyBorder="1"/>
    <xf numFmtId="9" fontId="14" fillId="0" borderId="21" xfId="0" applyNumberFormat="1" applyFont="1" applyBorder="1"/>
    <xf numFmtId="9" fontId="14" fillId="0" borderId="22" xfId="0" applyNumberFormat="1" applyFont="1" applyBorder="1"/>
    <xf numFmtId="165" fontId="15" fillId="0" borderId="0" xfId="0" applyNumberFormat="1" applyFont="1"/>
    <xf numFmtId="166" fontId="15" fillId="0" borderId="0" xfId="0" applyNumberFormat="1" applyFont="1"/>
    <xf numFmtId="165" fontId="15" fillId="0" borderId="6" xfId="0" applyNumberFormat="1" applyFont="1" applyBorder="1" applyAlignment="1">
      <alignment horizontal="left"/>
    </xf>
    <xf numFmtId="166" fontId="14" fillId="0" borderId="7" xfId="0" applyNumberFormat="1" applyFont="1" applyBorder="1" applyAlignment="1">
      <alignment horizontal="left"/>
    </xf>
    <xf numFmtId="166" fontId="14" fillId="0" borderId="7" xfId="0" applyNumberFormat="1" applyFont="1" applyBorder="1"/>
    <xf numFmtId="166" fontId="14" fillId="0" borderId="8" xfId="0" applyNumberFormat="1" applyFont="1" applyBorder="1"/>
    <xf numFmtId="165" fontId="15" fillId="0" borderId="9" xfId="0" applyNumberFormat="1" applyFont="1" applyBorder="1" applyAlignment="1">
      <alignment horizontal="left"/>
    </xf>
    <xf numFmtId="166" fontId="14" fillId="0" borderId="0" xfId="0" applyNumberFormat="1" applyFont="1" applyAlignment="1">
      <alignment horizontal="left"/>
    </xf>
    <xf numFmtId="165" fontId="15" fillId="0" borderId="11" xfId="0" applyNumberFormat="1" applyFont="1" applyBorder="1" applyAlignment="1">
      <alignment horizontal="left"/>
    </xf>
    <xf numFmtId="166" fontId="14" fillId="0" borderId="12" xfId="0" applyNumberFormat="1" applyFont="1" applyBorder="1" applyAlignment="1">
      <alignment horizontal="left"/>
    </xf>
    <xf numFmtId="9" fontId="14" fillId="0" borderId="7" xfId="0" applyNumberFormat="1" applyFont="1" applyBorder="1"/>
    <xf numFmtId="9" fontId="14" fillId="0" borderId="8" xfId="0" applyNumberFormat="1" applyFont="1" applyBorder="1"/>
    <xf numFmtId="9" fontId="14" fillId="0" borderId="10" xfId="0" applyNumberFormat="1" applyFont="1" applyBorder="1"/>
    <xf numFmtId="9" fontId="14" fillId="0" borderId="13" xfId="0" applyNumberFormat="1" applyFont="1" applyBorder="1"/>
    <xf numFmtId="9" fontId="14" fillId="0" borderId="6" xfId="0" applyNumberFormat="1" applyFont="1" applyBorder="1"/>
    <xf numFmtId="166" fontId="14" fillId="0" borderId="6" xfId="0" applyNumberFormat="1" applyFont="1" applyBorder="1"/>
    <xf numFmtId="166" fontId="14" fillId="0" borderId="8" xfId="0" applyNumberFormat="1" applyFont="1" applyBorder="1" applyAlignment="1">
      <alignment horizontal="left"/>
    </xf>
    <xf numFmtId="166" fontId="14" fillId="0" borderId="10" xfId="0" applyNumberFormat="1" applyFont="1" applyBorder="1" applyAlignment="1">
      <alignment horizontal="left"/>
    </xf>
    <xf numFmtId="166" fontId="14" fillId="0" borderId="13" xfId="0" applyNumberFormat="1" applyFont="1" applyBorder="1" applyAlignment="1">
      <alignment horizontal="left"/>
    </xf>
    <xf numFmtId="10" fontId="1" fillId="0" borderId="23" xfId="0" applyNumberFormat="1" applyFont="1" applyBorder="1"/>
    <xf numFmtId="10" fontId="1" fillId="0" borderId="24" xfId="0" applyNumberFormat="1" applyFont="1" applyBorder="1"/>
    <xf numFmtId="10" fontId="1" fillId="0" borderId="25" xfId="0" applyNumberFormat="1" applyFont="1" applyBorder="1"/>
    <xf numFmtId="166" fontId="12" fillId="0" borderId="9" xfId="0" applyNumberFormat="1" applyFont="1" applyBorder="1"/>
    <xf numFmtId="166" fontId="12" fillId="0" borderId="10" xfId="0" applyNumberFormat="1" applyFont="1" applyBorder="1"/>
    <xf numFmtId="166" fontId="12" fillId="0" borderId="11" xfId="0" applyNumberFormat="1" applyFont="1" applyBorder="1"/>
    <xf numFmtId="166" fontId="12" fillId="0" borderId="12" xfId="0" applyNumberFormat="1" applyFont="1" applyBorder="1"/>
    <xf numFmtId="166" fontId="12" fillId="0" borderId="13" xfId="0" applyNumberFormat="1" applyFont="1" applyBorder="1"/>
    <xf numFmtId="166" fontId="15" fillId="0" borderId="26" xfId="0" applyNumberFormat="1" applyFont="1" applyBorder="1"/>
    <xf numFmtId="9" fontId="12" fillId="0" borderId="0" xfId="0" applyNumberFormat="1" applyFont="1"/>
    <xf numFmtId="0" fontId="16" fillId="0" borderId="0" xfId="0" applyFont="1"/>
    <xf numFmtId="10" fontId="17" fillId="0" borderId="7" xfId="0" applyNumberFormat="1" applyFont="1" applyBorder="1"/>
    <xf numFmtId="0" fontId="14" fillId="0" borderId="0" xfId="0" applyFont="1"/>
    <xf numFmtId="9" fontId="0" fillId="0" borderId="0" xfId="0" applyNumberFormat="1"/>
    <xf numFmtId="165" fontId="1" fillId="0" borderId="0" xfId="0" applyNumberFormat="1" applyFont="1" applyAlignment="1">
      <alignment horizontal="right"/>
    </xf>
    <xf numFmtId="10" fontId="1" fillId="0" borderId="0" xfId="0" applyNumberFormat="1" applyFont="1"/>
    <xf numFmtId="164" fontId="10" fillId="0" borderId="0" xfId="0" applyNumberFormat="1" applyFont="1"/>
    <xf numFmtId="9" fontId="15" fillId="0" borderId="19" xfId="0" applyNumberFormat="1" applyFont="1" applyBorder="1"/>
    <xf numFmtId="9" fontId="0" fillId="0" borderId="29" xfId="0" applyNumberFormat="1" applyBorder="1" applyAlignment="1">
      <alignment horizontal="center"/>
    </xf>
    <xf numFmtId="0" fontId="15" fillId="0" borderId="0" xfId="0" applyFont="1"/>
    <xf numFmtId="0" fontId="1" fillId="0" borderId="30" xfId="0" applyFont="1" applyBorder="1"/>
    <xf numFmtId="0" fontId="1" fillId="0" borderId="31" xfId="0" applyFont="1" applyBorder="1"/>
    <xf numFmtId="10" fontId="0" fillId="0" borderId="0" xfId="0" applyNumberFormat="1"/>
    <xf numFmtId="10" fontId="12" fillId="0" borderId="17" xfId="0" applyNumberFormat="1" applyFont="1" applyBorder="1"/>
    <xf numFmtId="9" fontId="12" fillId="0" borderId="27" xfId="0" applyNumberFormat="1" applyFont="1" applyBorder="1" applyAlignment="1">
      <alignment horizontal="center"/>
    </xf>
    <xf numFmtId="9" fontId="12" fillId="0" borderId="28" xfId="0" applyNumberFormat="1" applyFont="1" applyBorder="1" applyAlignment="1">
      <alignment horizontal="center"/>
    </xf>
    <xf numFmtId="168" fontId="14" fillId="0" borderId="0" xfId="0" applyNumberFormat="1" applyFont="1"/>
    <xf numFmtId="167" fontId="14" fillId="0" borderId="0" xfId="0" applyNumberFormat="1" applyFont="1"/>
    <xf numFmtId="166" fontId="12" fillId="0" borderId="0" xfId="0" applyNumberFormat="1" applyFont="1" applyAlignment="1">
      <alignment horizontal="center"/>
    </xf>
    <xf numFmtId="10" fontId="12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67" fontId="12" fillId="0" borderId="0" xfId="0" applyNumberFormat="1" applyFont="1" applyAlignment="1">
      <alignment horizontal="center"/>
    </xf>
    <xf numFmtId="167" fontId="14" fillId="0" borderId="0" xfId="0" applyNumberFormat="1" applyFont="1" applyAlignment="1">
      <alignment horizontal="center"/>
    </xf>
    <xf numFmtId="166" fontId="12" fillId="0" borderId="17" xfId="0" applyNumberFormat="1" applyFont="1" applyBorder="1" applyAlignment="1">
      <alignment horizontal="center"/>
    </xf>
    <xf numFmtId="10" fontId="12" fillId="0" borderId="17" xfId="0" applyNumberFormat="1" applyFont="1" applyBorder="1" applyAlignment="1">
      <alignment horizontal="center"/>
    </xf>
    <xf numFmtId="10" fontId="0" fillId="0" borderId="17" xfId="0" applyNumberFormat="1" applyBorder="1" applyAlignment="1">
      <alignment horizontal="center"/>
    </xf>
    <xf numFmtId="167" fontId="12" fillId="0" borderId="17" xfId="0" applyNumberFormat="1" applyFont="1" applyBorder="1" applyAlignment="1">
      <alignment horizontal="center"/>
    </xf>
    <xf numFmtId="167" fontId="14" fillId="0" borderId="17" xfId="0" applyNumberFormat="1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10" fontId="0" fillId="0" borderId="31" xfId="0" applyNumberFormat="1" applyBorder="1" applyAlignment="1">
      <alignment horizontal="center"/>
    </xf>
    <xf numFmtId="167" fontId="14" fillId="0" borderId="31" xfId="0" applyNumberFormat="1" applyFont="1" applyBorder="1" applyAlignment="1">
      <alignment horizontal="center"/>
    </xf>
    <xf numFmtId="166" fontId="14" fillId="0" borderId="0" xfId="0" applyNumberFormat="1" applyFont="1" applyAlignment="1">
      <alignment horizontal="center"/>
    </xf>
    <xf numFmtId="166" fontId="1" fillId="0" borderId="7" xfId="0" applyNumberFormat="1" applyFont="1" applyBorder="1"/>
    <xf numFmtId="10" fontId="0" fillId="0" borderId="7" xfId="0" applyNumberFormat="1" applyBorder="1"/>
    <xf numFmtId="0" fontId="1" fillId="0" borderId="17" xfId="0" applyFont="1" applyBorder="1" applyAlignment="1">
      <alignment horizontal="right"/>
    </xf>
    <xf numFmtId="0" fontId="16" fillId="0" borderId="0" xfId="0" applyFont="1" applyAlignment="1">
      <alignment horizontal="left" indent="1"/>
    </xf>
    <xf numFmtId="10" fontId="1" fillId="0" borderId="21" xfId="0" applyNumberFormat="1" applyFont="1" applyBorder="1"/>
    <xf numFmtId="10" fontId="15" fillId="0" borderId="7" xfId="0" applyNumberFormat="1" applyFont="1" applyBorder="1"/>
    <xf numFmtId="10" fontId="1" fillId="0" borderId="7" xfId="0" applyNumberFormat="1" applyFont="1" applyBorder="1"/>
    <xf numFmtId="10" fontId="1" fillId="0" borderId="29" xfId="0" applyNumberFormat="1" applyFont="1" applyBorder="1"/>
    <xf numFmtId="3" fontId="0" fillId="0" borderId="0" xfId="0" applyNumberFormat="1"/>
    <xf numFmtId="170" fontId="12" fillId="0" borderId="27" xfId="0" applyNumberFormat="1" applyFont="1" applyBorder="1" applyAlignment="1">
      <alignment horizontal="center"/>
    </xf>
    <xf numFmtId="10" fontId="0" fillId="0" borderId="27" xfId="0" applyNumberFormat="1" applyBorder="1" applyAlignment="1">
      <alignment horizontal="center"/>
    </xf>
    <xf numFmtId="10" fontId="0" fillId="0" borderId="28" xfId="0" applyNumberFormat="1" applyBorder="1" applyAlignment="1">
      <alignment horizontal="center"/>
    </xf>
    <xf numFmtId="171" fontId="1" fillId="0" borderId="18" xfId="0" applyNumberFormat="1" applyFont="1" applyBorder="1"/>
    <xf numFmtId="0" fontId="13" fillId="0" borderId="0" xfId="0" applyFont="1" applyAlignment="1">
      <alignment horizontal="right"/>
    </xf>
    <xf numFmtId="168" fontId="0" fillId="0" borderId="0" xfId="0" applyNumberFormat="1"/>
    <xf numFmtId="166" fontId="1" fillId="0" borderId="21" xfId="0" applyNumberFormat="1" applyFont="1" applyBorder="1"/>
    <xf numFmtId="169" fontId="0" fillId="0" borderId="0" xfId="0" applyNumberFormat="1"/>
    <xf numFmtId="10" fontId="14" fillId="0" borderId="0" xfId="0" applyNumberFormat="1" applyFont="1"/>
    <xf numFmtId="0" fontId="19" fillId="0" borderId="0" xfId="0" applyFont="1"/>
    <xf numFmtId="0" fontId="20" fillId="0" borderId="0" xfId="0" applyFont="1"/>
    <xf numFmtId="0" fontId="23" fillId="0" borderId="0" xfId="0" applyFont="1" applyAlignment="1">
      <alignment vertical="center"/>
    </xf>
    <xf numFmtId="0" fontId="12" fillId="0" borderId="0" xfId="0" applyFont="1" applyAlignment="1">
      <alignment horizontal="left" indent="2"/>
    </xf>
    <xf numFmtId="0" fontId="12" fillId="0" borderId="12" xfId="0" applyFont="1" applyBorder="1" applyAlignment="1">
      <alignment horizontal="left" indent="2"/>
    </xf>
    <xf numFmtId="173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4" fillId="0" borderId="0" xfId="0" applyFont="1"/>
    <xf numFmtId="0" fontId="25" fillId="0" borderId="0" xfId="0" applyFont="1" applyAlignment="1">
      <alignment horizontal="center" vertical="center"/>
    </xf>
    <xf numFmtId="172" fontId="26" fillId="0" borderId="0" xfId="2" applyNumberFormat="1" applyFont="1" applyAlignment="1" applyProtection="1">
      <alignment horizontal="center" vertical="center"/>
      <protection hidden="1"/>
    </xf>
    <xf numFmtId="0" fontId="18" fillId="0" borderId="0" xfId="0" applyFont="1"/>
    <xf numFmtId="0" fontId="14" fillId="0" borderId="0" xfId="0" applyFont="1" applyAlignment="1">
      <alignment horizontal="left" indent="1"/>
    </xf>
    <xf numFmtId="0" fontId="15" fillId="0" borderId="17" xfId="0" applyFont="1" applyBorder="1"/>
    <xf numFmtId="0" fontId="14" fillId="0" borderId="17" xfId="0" applyFont="1" applyBorder="1"/>
    <xf numFmtId="170" fontId="0" fillId="0" borderId="27" xfId="0" applyNumberFormat="1" applyBorder="1" applyAlignment="1">
      <alignment horizontal="center"/>
    </xf>
    <xf numFmtId="10" fontId="14" fillId="0" borderId="32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66" fontId="14" fillId="0" borderId="32" xfId="0" applyNumberFormat="1" applyFont="1" applyBorder="1" applyAlignment="1">
      <alignment horizontal="center"/>
    </xf>
    <xf numFmtId="166" fontId="12" fillId="0" borderId="28" xfId="0" applyNumberFormat="1" applyFont="1" applyBorder="1" applyAlignment="1">
      <alignment horizontal="center"/>
    </xf>
    <xf numFmtId="10" fontId="14" fillId="0" borderId="6" xfId="0" applyNumberFormat="1" applyFont="1" applyBorder="1"/>
    <xf numFmtId="10" fontId="14" fillId="0" borderId="7" xfId="0" applyNumberFormat="1" applyFont="1" applyBorder="1"/>
    <xf numFmtId="10" fontId="14" fillId="0" borderId="8" xfId="0" applyNumberFormat="1" applyFont="1" applyBorder="1"/>
    <xf numFmtId="10" fontId="14" fillId="0" borderId="9" xfId="0" applyNumberFormat="1" applyFont="1" applyBorder="1"/>
    <xf numFmtId="10" fontId="14" fillId="0" borderId="10" xfId="0" applyNumberFormat="1" applyFont="1" applyBorder="1"/>
    <xf numFmtId="10" fontId="14" fillId="0" borderId="11" xfId="0" applyNumberFormat="1" applyFont="1" applyBorder="1"/>
    <xf numFmtId="10" fontId="14" fillId="0" borderId="12" xfId="0" applyNumberFormat="1" applyFont="1" applyBorder="1"/>
    <xf numFmtId="10" fontId="14" fillId="0" borderId="13" xfId="0" applyNumberFormat="1" applyFont="1" applyBorder="1"/>
    <xf numFmtId="10" fontId="15" fillId="0" borderId="0" xfId="0" applyNumberFormat="1" applyFont="1"/>
    <xf numFmtId="169" fontId="1" fillId="0" borderId="0" xfId="0" applyNumberFormat="1" applyFont="1"/>
    <xf numFmtId="166" fontId="15" fillId="3" borderId="0" xfId="0" applyNumberFormat="1" applyFont="1" applyFill="1"/>
    <xf numFmtId="10" fontId="15" fillId="3" borderId="0" xfId="0" applyNumberFormat="1" applyFont="1" applyFill="1"/>
    <xf numFmtId="0" fontId="1" fillId="0" borderId="17" xfId="0" applyFont="1" applyBorder="1" applyAlignment="1">
      <alignment horizontal="left"/>
    </xf>
    <xf numFmtId="166" fontId="18" fillId="0" borderId="0" xfId="0" applyNumberFormat="1" applyFont="1"/>
    <xf numFmtId="10" fontId="18" fillId="0" borderId="0" xfId="0" applyNumberFormat="1" applyFont="1"/>
    <xf numFmtId="169" fontId="18" fillId="0" borderId="0" xfId="0" applyNumberFormat="1" applyFont="1"/>
    <xf numFmtId="0" fontId="13" fillId="0" borderId="0" xfId="0" applyFont="1" applyAlignment="1">
      <alignment horizontal="center"/>
    </xf>
    <xf numFmtId="0" fontId="13" fillId="0" borderId="33" xfId="0" applyFont="1" applyBorder="1" applyAlignment="1">
      <alignment horizontal="center"/>
    </xf>
    <xf numFmtId="0" fontId="0" fillId="0" borderId="34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169" fontId="12" fillId="0" borderId="32" xfId="0" applyNumberFormat="1" applyFont="1" applyBorder="1" applyAlignment="1">
      <alignment horizontal="center"/>
    </xf>
    <xf numFmtId="0" fontId="14" fillId="0" borderId="0" xfId="0" applyFont="1" applyAlignment="1">
      <alignment horizontal="left"/>
    </xf>
    <xf numFmtId="166" fontId="12" fillId="0" borderId="10" xfId="0" applyNumberFormat="1" applyFont="1" applyBorder="1" applyAlignment="1">
      <alignment horizontal="center"/>
    </xf>
    <xf numFmtId="2" fontId="12" fillId="0" borderId="0" xfId="0" applyNumberFormat="1" applyFont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166" fontId="12" fillId="0" borderId="35" xfId="0" applyNumberFormat="1" applyFont="1" applyBorder="1" applyAlignment="1">
      <alignment horizontal="center"/>
    </xf>
    <xf numFmtId="166" fontId="12" fillId="0" borderId="36" xfId="0" applyNumberFormat="1" applyFont="1" applyBorder="1" applyAlignment="1">
      <alignment horizontal="center"/>
    </xf>
    <xf numFmtId="2" fontId="12" fillId="0" borderId="17" xfId="0" applyNumberFormat="1" applyFont="1" applyBorder="1" applyAlignment="1">
      <alignment horizontal="center"/>
    </xf>
    <xf numFmtId="174" fontId="0" fillId="0" borderId="10" xfId="0" applyNumberFormat="1" applyBorder="1" applyAlignment="1">
      <alignment horizontal="center"/>
    </xf>
    <xf numFmtId="174" fontId="0" fillId="0" borderId="35" xfId="0" applyNumberFormat="1" applyBorder="1" applyAlignment="1">
      <alignment horizontal="center"/>
    </xf>
    <xf numFmtId="0" fontId="13" fillId="0" borderId="40" xfId="0" applyFont="1" applyBorder="1" applyAlignment="1">
      <alignment horizontal="center"/>
    </xf>
    <xf numFmtId="0" fontId="0" fillId="0" borderId="41" xfId="0" applyBorder="1"/>
    <xf numFmtId="0" fontId="0" fillId="0" borderId="37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1" xfId="0" applyBorder="1" applyAlignment="1">
      <alignment horizontal="center"/>
    </xf>
    <xf numFmtId="166" fontId="0" fillId="0" borderId="38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74" fontId="0" fillId="0" borderId="0" xfId="0" applyNumberFormat="1" applyAlignment="1">
      <alignment horizontal="center"/>
    </xf>
    <xf numFmtId="10" fontId="0" fillId="0" borderId="41" xfId="0" applyNumberFormat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74" fontId="0" fillId="0" borderId="17" xfId="0" applyNumberFormat="1" applyBorder="1" applyAlignment="1">
      <alignment horizontal="center"/>
    </xf>
    <xf numFmtId="10" fontId="0" fillId="0" borderId="42" xfId="0" applyNumberFormat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0" fontId="15" fillId="0" borderId="0" xfId="0" applyFont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0" fontId="1" fillId="0" borderId="0" xfId="0" applyFont="1" applyAlignment="1">
      <alignment horizontal="right" vertical="center" textRotation="255"/>
    </xf>
    <xf numFmtId="0" fontId="0" fillId="0" borderId="0" xfId="0" applyBorder="1"/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</cellXfs>
  <cellStyles count="3">
    <cellStyle name="Hyperlink" xfId="1" builtinId="8"/>
    <cellStyle name="Normal" xfId="0" builtinId="0"/>
    <cellStyle name="Normal 2" xfId="2" xr:uid="{2315F587-4204-499E-9C1A-173A7B8F3E83}"/>
  </cellStyles>
  <dxfs count="1">
    <dxf>
      <font>
        <b/>
        <i val="0"/>
        <color theme="5" tint="-0.24994659260841701"/>
      </font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0F2D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Outputs!$B$17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Outputs!$H$10:$N$10</c:f>
              <c:numCache>
                <c:formatCode>0\A</c:formatCode>
                <c:ptCount val="7"/>
                <c:pt idx="0">
                  <c:v>2024</c:v>
                </c:pt>
                <c:pt idx="1">
                  <c:v>2025</c:v>
                </c:pt>
                <c:pt idx="2" formatCode="0\F">
                  <c:v>2026</c:v>
                </c:pt>
                <c:pt idx="3" formatCode="0\F">
                  <c:v>2027</c:v>
                </c:pt>
                <c:pt idx="4" formatCode="0\F">
                  <c:v>2028</c:v>
                </c:pt>
                <c:pt idx="5" formatCode="0\F">
                  <c:v>2029</c:v>
                </c:pt>
                <c:pt idx="6" formatCode="0\F">
                  <c:v>2030</c:v>
                </c:pt>
              </c:numCache>
            </c:numRef>
          </c:cat>
          <c:val>
            <c:numRef>
              <c:f>Outputs!$H$17:$N$17</c:f>
              <c:numCache>
                <c:formatCode>_(#,##0_);\(#,##0\);_("–"_);_(@_)</c:formatCode>
                <c:ptCount val="7"/>
                <c:pt idx="0">
                  <c:v>74537</c:v>
                </c:pt>
                <c:pt idx="1">
                  <c:v>85498</c:v>
                </c:pt>
                <c:pt idx="2">
                  <c:v>98322.7</c:v>
                </c:pt>
                <c:pt idx="3">
                  <c:v>112579.4915</c:v>
                </c:pt>
                <c:pt idx="4">
                  <c:v>128340.62031</c:v>
                </c:pt>
                <c:pt idx="5">
                  <c:v>145987.45560262501</c:v>
                </c:pt>
                <c:pt idx="6">
                  <c:v>165695.7621089794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36-4D1C-BE49-B612446F8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8470880"/>
        <c:axId val="1818463680"/>
      </c:barChart>
      <c:lineChart>
        <c:grouping val="standard"/>
        <c:varyColors val="0"/>
        <c:ser>
          <c:idx val="0"/>
          <c:order val="1"/>
          <c:tx>
            <c:strRef>
              <c:f>Outputs!$B$20</c:f>
              <c:strCache>
                <c:ptCount val="1"/>
                <c:pt idx="0">
                  <c:v>EBITDA Margin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Outputs!$H$10:$N$10</c:f>
              <c:numCache>
                <c:formatCode>0\A</c:formatCode>
                <c:ptCount val="7"/>
                <c:pt idx="0">
                  <c:v>2024</c:v>
                </c:pt>
                <c:pt idx="1">
                  <c:v>2025</c:v>
                </c:pt>
                <c:pt idx="2" formatCode="0\F">
                  <c:v>2026</c:v>
                </c:pt>
                <c:pt idx="3" formatCode="0\F">
                  <c:v>2027</c:v>
                </c:pt>
                <c:pt idx="4" formatCode="0\F">
                  <c:v>2028</c:v>
                </c:pt>
                <c:pt idx="5" formatCode="0\F">
                  <c:v>2029</c:v>
                </c:pt>
                <c:pt idx="6" formatCode="0\F">
                  <c:v>2030</c:v>
                </c:pt>
              </c:numCache>
            </c:numRef>
          </c:cat>
          <c:val>
            <c:numRef>
              <c:f>Outputs!$H$20:$N$20</c:f>
              <c:numCache>
                <c:formatCode>0.00%</c:formatCode>
                <c:ptCount val="7"/>
                <c:pt idx="0">
                  <c:v>0.2652910634986651</c:v>
                </c:pt>
                <c:pt idx="1">
                  <c:v>0.27550352055018829</c:v>
                </c:pt>
                <c:pt idx="2">
                  <c:v>0.34999999999999992</c:v>
                </c:pt>
                <c:pt idx="3">
                  <c:v>0.34500000000000003</c:v>
                </c:pt>
                <c:pt idx="4">
                  <c:v>0.33999999999999997</c:v>
                </c:pt>
                <c:pt idx="5">
                  <c:v>0.33500000000000002</c:v>
                </c:pt>
                <c:pt idx="6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36-4D1C-BE49-B612446F84F0}"/>
            </c:ext>
          </c:extLst>
        </c:ser>
        <c:ser>
          <c:idx val="2"/>
          <c:order val="2"/>
          <c:tx>
            <c:strRef>
              <c:f>Outputs!$B$23</c:f>
              <c:strCache>
                <c:ptCount val="1"/>
                <c:pt idx="0">
                  <c:v>Net Income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Outputs!$H$10:$N$10</c:f>
              <c:numCache>
                <c:formatCode>0\A</c:formatCode>
                <c:ptCount val="7"/>
                <c:pt idx="0">
                  <c:v>2024</c:v>
                </c:pt>
                <c:pt idx="1">
                  <c:v>2025</c:v>
                </c:pt>
                <c:pt idx="2" formatCode="0\F">
                  <c:v>2026</c:v>
                </c:pt>
                <c:pt idx="3" formatCode="0\F">
                  <c:v>2027</c:v>
                </c:pt>
                <c:pt idx="4" formatCode="0\F">
                  <c:v>2028</c:v>
                </c:pt>
                <c:pt idx="5" formatCode="0\F">
                  <c:v>2029</c:v>
                </c:pt>
                <c:pt idx="6" formatCode="0\F">
                  <c:v>2030</c:v>
                </c:pt>
              </c:numCache>
            </c:numRef>
          </c:cat>
          <c:val>
            <c:numRef>
              <c:f>Outputs!$H$23:$N$23</c:f>
              <c:numCache>
                <c:formatCode>0.00%</c:formatCode>
                <c:ptCount val="7"/>
                <c:pt idx="0">
                  <c:v>0.13557025369950496</c:v>
                </c:pt>
                <c:pt idx="1">
                  <c:v>0.14736017216777</c:v>
                </c:pt>
                <c:pt idx="2">
                  <c:v>0.160407208926757</c:v>
                </c:pt>
                <c:pt idx="3">
                  <c:v>0.16365056026410332</c:v>
                </c:pt>
                <c:pt idx="4">
                  <c:v>0.16561307751324561</c:v>
                </c:pt>
                <c:pt idx="5">
                  <c:v>0.16666644801704014</c:v>
                </c:pt>
                <c:pt idx="6">
                  <c:v>0.16694875865848524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36-4D1C-BE49-B612446F8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8216432"/>
        <c:axId val="468215952"/>
      </c:lineChart>
      <c:catAx>
        <c:axId val="1818470880"/>
        <c:scaling>
          <c:orientation val="minMax"/>
        </c:scaling>
        <c:delete val="0"/>
        <c:axPos val="b"/>
        <c:numFmt formatCode="0\A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463680"/>
        <c:crosses val="autoZero"/>
        <c:auto val="1"/>
        <c:lblAlgn val="ctr"/>
        <c:lblOffset val="100"/>
        <c:noMultiLvlLbl val="0"/>
      </c:catAx>
      <c:valAx>
        <c:axId val="1818463680"/>
        <c:scaling>
          <c:orientation val="minMax"/>
          <c:max val="200000"/>
          <c:min val="50000"/>
        </c:scaling>
        <c:delete val="0"/>
        <c:axPos val="l"/>
        <c:numFmt formatCode="_(#,##0_);\(#,##0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470880"/>
        <c:crosses val="autoZero"/>
        <c:crossBetween val="between"/>
      </c:valAx>
      <c:valAx>
        <c:axId val="46821595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216432"/>
        <c:crosses val="max"/>
        <c:crossBetween val="between"/>
      </c:valAx>
      <c:catAx>
        <c:axId val="468216432"/>
        <c:scaling>
          <c:orientation val="minMax"/>
        </c:scaling>
        <c:delete val="1"/>
        <c:axPos val="b"/>
        <c:numFmt formatCode="0\A" sourceLinked="1"/>
        <c:majorTickMark val="out"/>
        <c:minorTickMark val="none"/>
        <c:tickLblPos val="nextTo"/>
        <c:crossAx val="4682159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Outputs!$B$28</c:f>
              <c:strCache>
                <c:ptCount val="1"/>
                <c:pt idx="0">
                  <c:v>Cash From Operating Activities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Outputs!$J$10:$N$10</c:f>
              <c:numCache>
                <c:formatCode>0\F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Outputs!$J$28:$N$28</c:f>
              <c:numCache>
                <c:formatCode>_(#,##0_);\(#,##0\);_("–"_);_(@_)</c:formatCode>
                <c:ptCount val="5"/>
                <c:pt idx="0">
                  <c:v>24714.559947287664</c:v>
                </c:pt>
                <c:pt idx="1">
                  <c:v>28519.346801823158</c:v>
                </c:pt>
                <c:pt idx="2">
                  <c:v>32279.661420347249</c:v>
                </c:pt>
                <c:pt idx="3">
                  <c:v>36408.146756104201</c:v>
                </c:pt>
                <c:pt idx="4">
                  <c:v>40939.289668621292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3-4AB1-8422-4BB97E0ECF46}"/>
            </c:ext>
          </c:extLst>
        </c:ser>
        <c:ser>
          <c:idx val="1"/>
          <c:order val="1"/>
          <c:tx>
            <c:strRef>
              <c:f>Outputs!$B$29</c:f>
              <c:strCache>
                <c:ptCount val="1"/>
                <c:pt idx="0">
                  <c:v>Cash From Investing Activities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Outputs!$J$10:$N$10</c:f>
              <c:numCache>
                <c:formatCode>0\F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Outputs!$J$29:$N$29</c:f>
              <c:numCache>
                <c:formatCode>_(#,##0_);\(#,##0\);_("–"_);_(@_)</c:formatCode>
                <c:ptCount val="5"/>
                <c:pt idx="0">
                  <c:v>-14812.315999999993</c:v>
                </c:pt>
                <c:pt idx="1">
                  <c:v>-16728.551820000001</c:v>
                </c:pt>
                <c:pt idx="2">
                  <c:v>-18804.266574799993</c:v>
                </c:pt>
                <c:pt idx="3">
                  <c:v>-21237.406497584998</c:v>
                </c:pt>
                <c:pt idx="4">
                  <c:v>-23930.667101133979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53-4AB1-8422-4BB97E0ECF46}"/>
            </c:ext>
          </c:extLst>
        </c:ser>
        <c:ser>
          <c:idx val="2"/>
          <c:order val="2"/>
          <c:tx>
            <c:strRef>
              <c:f>Outputs!$B$30</c:f>
              <c:strCache>
                <c:ptCount val="1"/>
                <c:pt idx="0">
                  <c:v>Cash From Financing Activities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Outputs!$J$10:$N$10</c:f>
              <c:numCache>
                <c:formatCode>0\F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Outputs!$J$30:$N$30</c:f>
              <c:numCache>
                <c:formatCode>_(#,##0_);\(#,##0\);_("–"_);_(@_)</c:formatCode>
                <c:ptCount val="5"/>
                <c:pt idx="0">
                  <c:v>-2036.0587351428571</c:v>
                </c:pt>
                <c:pt idx="1">
                  <c:v>-2263.1091072778572</c:v>
                </c:pt>
                <c:pt idx="2">
                  <c:v>-2507.285217437257</c:v>
                </c:pt>
                <c:pt idx="3">
                  <c:v>-2754.2874272918566</c:v>
                </c:pt>
                <c:pt idx="4">
                  <c:v>-3020.3655106369724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53-4AB1-8422-4BB97E0EC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3149888"/>
        <c:axId val="843144608"/>
      </c:barChart>
      <c:lineChart>
        <c:grouping val="standard"/>
        <c:varyColors val="0"/>
        <c:ser>
          <c:idx val="3"/>
          <c:order val="3"/>
          <c:tx>
            <c:strRef>
              <c:f>Outputs!$B$31</c:f>
              <c:strCache>
                <c:ptCount val="1"/>
                <c:pt idx="0">
                  <c:v>Change in Cash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Outputs!$J$10:$N$10</c:f>
              <c:numCache>
                <c:formatCode>0\F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Outputs!$J$31:$N$31</c:f>
              <c:numCache>
                <c:formatCode>_(#,##0_);\(#,##0\);_("–"_);_(@_)</c:formatCode>
                <c:ptCount val="5"/>
                <c:pt idx="0">
                  <c:v>7866.1852121448137</c:v>
                </c:pt>
                <c:pt idx="1">
                  <c:v>9527.6858745452992</c:v>
                </c:pt>
                <c:pt idx="2">
                  <c:v>10968.10962811</c:v>
                </c:pt>
                <c:pt idx="3">
                  <c:v>12416.452831227347</c:v>
                </c:pt>
                <c:pt idx="4">
                  <c:v>13988.25705685034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53-4AB1-8422-4BB97E0ECF46}"/>
            </c:ext>
          </c:extLst>
        </c:ser>
        <c:ser>
          <c:idx val="4"/>
          <c:order val="4"/>
          <c:tx>
            <c:strRef>
              <c:f>Outputs!$B$33</c:f>
              <c:strCache>
                <c:ptCount val="1"/>
                <c:pt idx="0">
                  <c:v>Unlevered Free Cash Flows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Outputs!$J$10:$N$10</c:f>
              <c:numCache>
                <c:formatCode>0\F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Outputs!$J$33:$N$33</c:f>
              <c:numCache>
                <c:formatCode>_(#,##0_);\(#,##0\);_("–"_);_(@_)</c:formatCode>
                <c:ptCount val="5"/>
                <c:pt idx="0">
                  <c:v>21860.398769205472</c:v>
                </c:pt>
                <c:pt idx="1">
                  <c:v>24918.090647302612</c:v>
                </c:pt>
                <c:pt idx="2">
                  <c:v>27717.493007566423</c:v>
                </c:pt>
                <c:pt idx="3">
                  <c:v>30827.871360992754</c:v>
                </c:pt>
                <c:pt idx="4">
                  <c:v>34220.18447320041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DF-4AA7-8EA5-150AFF70D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3149888"/>
        <c:axId val="843144608"/>
      </c:lineChart>
      <c:catAx>
        <c:axId val="843149888"/>
        <c:scaling>
          <c:orientation val="minMax"/>
        </c:scaling>
        <c:delete val="0"/>
        <c:axPos val="b"/>
        <c:numFmt formatCode="0\F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144608"/>
        <c:crosses val="autoZero"/>
        <c:auto val="1"/>
        <c:lblAlgn val="ctr"/>
        <c:lblOffset val="100"/>
        <c:noMultiLvlLbl val="0"/>
      </c:catAx>
      <c:valAx>
        <c:axId val="843144608"/>
        <c:scaling>
          <c:orientation val="minMax"/>
        </c:scaling>
        <c:delete val="0"/>
        <c:axPos val="l"/>
        <c:numFmt formatCode="_(#,##0_);\(#,##0\);_(&quot;–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14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69252701280361"/>
          <c:y val="0.18049977688531904"/>
          <c:w val="0.81575196850393705"/>
          <c:h val="0.735771361913094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Outputs!$B$91</c:f>
              <c:strCache>
                <c:ptCount val="1"/>
                <c:pt idx="0">
                  <c:v>Comparable Trading Analysis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Outputs!$E$90:$H$90</c:f>
              <c:strCache>
                <c:ptCount val="4"/>
                <c:pt idx="0">
                  <c:v>Low</c:v>
                </c:pt>
                <c:pt idx="1">
                  <c:v>Delta</c:v>
                </c:pt>
                <c:pt idx="2">
                  <c:v>High</c:v>
                </c:pt>
                <c:pt idx="3">
                  <c:v>Mid</c:v>
                </c:pt>
              </c:strCache>
            </c:strRef>
          </c:cat>
          <c:val>
            <c:numRef>
              <c:f>Outputs!$E$91:$H$91</c:f>
              <c:numCache>
                <c:formatCode>_(#,##0_);\(#,##0\);_("–"_);_(@_)</c:formatCode>
                <c:ptCount val="4"/>
                <c:pt idx="0">
                  <c:v>315962.17868783482</c:v>
                </c:pt>
                <c:pt idx="1">
                  <c:v>967516.74795534578</c:v>
                </c:pt>
                <c:pt idx="2">
                  <c:v>1283478.9266431807</c:v>
                </c:pt>
                <c:pt idx="3">
                  <c:v>864393.95924329245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5-4090-B172-2F2846E6EFA7}"/>
            </c:ext>
          </c:extLst>
        </c:ser>
        <c:ser>
          <c:idx val="1"/>
          <c:order val="1"/>
          <c:tx>
            <c:strRef>
              <c:f>Outputs!$B$92</c:f>
              <c:strCache>
                <c:ptCount val="1"/>
                <c:pt idx="0">
                  <c:v>DCF Valuation Analysis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Outputs!$E$90:$H$90</c:f>
              <c:strCache>
                <c:ptCount val="4"/>
                <c:pt idx="0">
                  <c:v>Low</c:v>
                </c:pt>
                <c:pt idx="1">
                  <c:v>Delta</c:v>
                </c:pt>
                <c:pt idx="2">
                  <c:v>High</c:v>
                </c:pt>
                <c:pt idx="3">
                  <c:v>Mid</c:v>
                </c:pt>
              </c:strCache>
            </c:strRef>
          </c:cat>
          <c:val>
            <c:numRef>
              <c:f>Outputs!$E$92:$H$92</c:f>
              <c:numCache>
                <c:formatCode>_(#,##0_);\(#,##0\);_("–"_);_(@_)</c:formatCode>
                <c:ptCount val="4"/>
                <c:pt idx="0">
                  <c:v>298295.99588371965</c:v>
                </c:pt>
                <c:pt idx="1">
                  <c:v>37677.167418432422</c:v>
                </c:pt>
                <c:pt idx="2">
                  <c:v>335973.16330215207</c:v>
                </c:pt>
                <c:pt idx="3">
                  <c:v>315665.97237511893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05-4090-B172-2F2846E6E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9223536"/>
        <c:axId val="1239229776"/>
      </c:barChart>
      <c:catAx>
        <c:axId val="123922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229776"/>
        <c:crosses val="autoZero"/>
        <c:auto val="1"/>
        <c:lblAlgn val="ctr"/>
        <c:lblOffset val="100"/>
        <c:noMultiLvlLbl val="0"/>
      </c:catAx>
      <c:valAx>
        <c:axId val="123922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#,##0_);\(#,##0\);_(&quot;–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22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6" fmlaLink="Inputs!$F$8" fmlaRange="Inputs!$B$15:$B$17" noThreeD="1" sel="2" val="0"/>
</file>

<file path=xl/ctrlProps/ctrlProp2.xml><?xml version="1.0" encoding="utf-8"?>
<formControlPr xmlns="http://schemas.microsoft.com/office/spreadsheetml/2009/9/main" objectType="Drop" dropStyle="combo" dx="26" fmlaLink="Inputs!$F$8" fmlaRange="Inputs!$B$15:$B$17" noThreeD="1" sel="2" val="0"/>
</file>

<file path=xl/ctrlProps/ctrlProp3.xml><?xml version="1.0" encoding="utf-8"?>
<formControlPr xmlns="http://schemas.microsoft.com/office/spreadsheetml/2009/9/main" objectType="Drop" dropStyle="combo" dx="26" fmlaLink="Inputs!$F$8" fmlaRange="Inputs!$B$15:$B$17" noThreeD="1" sel="2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mailto:aaravsingh.corp@outlook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linkedin.com/in/aaravsingh-corp/" TargetMode="Externa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7620</xdr:rowOff>
    </xdr:from>
    <xdr:to>
      <xdr:col>13</xdr:col>
      <xdr:colOff>0</xdr:colOff>
      <xdr:row>7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B4B9340-FC71-47E3-B5F5-088FE27D25E0}"/>
            </a:ext>
          </a:extLst>
        </xdr:cNvPr>
        <xdr:cNvSpPr/>
      </xdr:nvSpPr>
      <xdr:spPr>
        <a:xfrm>
          <a:off x="670560" y="198120"/>
          <a:ext cx="8351520" cy="1097280"/>
        </a:xfrm>
        <a:prstGeom prst="rect">
          <a:avLst/>
        </a:prstGeom>
        <a:gradFill flip="none" rotWithShape="1">
          <a:gsLst>
            <a:gs pos="0">
              <a:srgbClr val="0F2D70"/>
            </a:gs>
            <a:gs pos="100000">
              <a:srgbClr val="5C255F"/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0</xdr:row>
      <xdr:rowOff>160020</xdr:rowOff>
    </xdr:from>
    <xdr:to>
      <xdr:col>5</xdr:col>
      <xdr:colOff>601980</xdr:colOff>
      <xdr:row>3</xdr:row>
      <xdr:rowOff>91440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DE6B9F-F65E-41F2-9FC7-44245BDDCB67}"/>
            </a:ext>
          </a:extLst>
        </xdr:cNvPr>
        <xdr:cNvSpPr txBox="1"/>
      </xdr:nvSpPr>
      <xdr:spPr>
        <a:xfrm>
          <a:off x="670560" y="160020"/>
          <a:ext cx="326898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500" b="1">
              <a:solidFill>
                <a:schemeClr val="bg1"/>
              </a:solidFill>
              <a:latin typeface="Aptos" panose="020B0004020202020204" pitchFamily="34" charset="0"/>
            </a:rPr>
            <a:t>Aarav</a:t>
          </a:r>
          <a:r>
            <a:rPr lang="en-US" sz="2500" b="1" baseline="0">
              <a:solidFill>
                <a:schemeClr val="bg1"/>
              </a:solidFill>
              <a:latin typeface="Aptos" panose="020B0004020202020204" pitchFamily="34" charset="0"/>
            </a:rPr>
            <a:t> Singh, FMVA</a:t>
          </a:r>
          <a:r>
            <a:rPr lang="en-US" sz="2800" b="1" i="0">
              <a:solidFill>
                <a:schemeClr val="bg1"/>
              </a:solidFill>
              <a:effectLst/>
              <a:latin typeface="Aptos" panose="020B0004020202020204" pitchFamily="34" charset="0"/>
            </a:rPr>
            <a:t>®</a:t>
          </a:r>
          <a:endParaRPr lang="en-US" sz="2500" b="1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 editAs="oneCell">
    <xdr:from>
      <xdr:col>1</xdr:col>
      <xdr:colOff>220980</xdr:colOff>
      <xdr:row>3</xdr:row>
      <xdr:rowOff>167640</xdr:rowOff>
    </xdr:from>
    <xdr:to>
      <xdr:col>1</xdr:col>
      <xdr:colOff>495300</xdr:colOff>
      <xdr:row>5</xdr:row>
      <xdr:rowOff>76200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54D75A-37EE-44C4-805A-62F7937BB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" y="731520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22861</xdr:colOff>
      <xdr:row>3</xdr:row>
      <xdr:rowOff>156812</xdr:rowOff>
    </xdr:from>
    <xdr:to>
      <xdr:col>2</xdr:col>
      <xdr:colOff>315808</xdr:colOff>
      <xdr:row>5</xdr:row>
      <xdr:rowOff>68580</xdr:rowOff>
    </xdr:to>
    <xdr:pic>
      <xdr:nvPicPr>
        <xdr:cNvPr id="5" name="Pictur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C2B5C1D-E398-44D4-972D-C72A91CF2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8741" y="720692"/>
          <a:ext cx="292947" cy="277528"/>
        </a:xfrm>
        <a:prstGeom prst="rect">
          <a:avLst/>
        </a:prstGeom>
      </xdr:spPr>
    </xdr:pic>
    <xdr:clientData/>
  </xdr:twoCellAnchor>
  <xdr:twoCellAnchor editAs="oneCell">
    <xdr:from>
      <xdr:col>10</xdr:col>
      <xdr:colOff>388621</xdr:colOff>
      <xdr:row>7</xdr:row>
      <xdr:rowOff>99060</xdr:rowOff>
    </xdr:from>
    <xdr:to>
      <xdr:col>12</xdr:col>
      <xdr:colOff>95587</xdr:colOff>
      <xdr:row>13</xdr:row>
      <xdr:rowOff>167640</xdr:rowOff>
    </xdr:to>
    <xdr:pic>
      <xdr:nvPicPr>
        <xdr:cNvPr id="6" name="Picture 5" descr="Apollo Hospitals - Wikipedia">
          <a:extLst>
            <a:ext uri="{FF2B5EF4-FFF2-40B4-BE49-F238E27FC236}">
              <a16:creationId xmlns:a16="http://schemas.microsoft.com/office/drawing/2014/main" id="{E134F08F-B134-EAC0-F4FC-D809057B2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8981" y="1394460"/>
          <a:ext cx="1368126" cy="1463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17</xdr:col>
      <xdr:colOff>7620</xdr:colOff>
      <xdr:row>6</xdr:row>
      <xdr:rowOff>31806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82BDC3D-AB10-4301-90F5-3D84161C41C3}"/>
            </a:ext>
          </a:extLst>
        </xdr:cNvPr>
        <xdr:cNvSpPr/>
      </xdr:nvSpPr>
      <xdr:spPr>
        <a:xfrm>
          <a:off x="670560" y="0"/>
          <a:ext cx="10736580" cy="1129086"/>
        </a:xfrm>
        <a:prstGeom prst="rect">
          <a:avLst/>
        </a:prstGeom>
        <a:gradFill flip="none" rotWithShape="1">
          <a:gsLst>
            <a:gs pos="0">
              <a:srgbClr val="0F2D70"/>
            </a:gs>
            <a:gs pos="100000">
              <a:srgbClr val="5C255F"/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10</xdr:row>
          <xdr:rowOff>167640</xdr:rowOff>
        </xdr:from>
        <xdr:to>
          <xdr:col>4</xdr:col>
          <xdr:colOff>38100</xdr:colOff>
          <xdr:row>12</xdr:row>
          <xdr:rowOff>22860</xdr:rowOff>
        </xdr:to>
        <xdr:sp macro="" textlink="">
          <xdr:nvSpPr>
            <xdr:cNvPr id="4097" name="Drop Dow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605790</xdr:colOff>
      <xdr:row>35</xdr:row>
      <xdr:rowOff>19050</xdr:rowOff>
    </xdr:from>
    <xdr:to>
      <xdr:col>8</xdr:col>
      <xdr:colOff>205740</xdr:colOff>
      <xdr:row>51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7DD8BC-3D0F-7CAD-9B4F-5259641E1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567690</xdr:colOff>
      <xdr:row>35</xdr:row>
      <xdr:rowOff>21771</xdr:rowOff>
    </xdr:from>
    <xdr:to>
      <xdr:col>16</xdr:col>
      <xdr:colOff>21771</xdr:colOff>
      <xdr:row>51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AA82E5-4D86-40C0-3FE5-6A0A47C75D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148590</xdr:colOff>
      <xdr:row>88</xdr:row>
      <xdr:rowOff>11430</xdr:rowOff>
    </xdr:from>
    <xdr:to>
      <xdr:col>16</xdr:col>
      <xdr:colOff>38100</xdr:colOff>
      <xdr:row>103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81BE8B8-7375-5919-EE07-9586C1124B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16</xdr:col>
      <xdr:colOff>0</xdr:colOff>
      <xdr:row>6</xdr:row>
      <xdr:rowOff>15903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6DB6979-D08D-48ED-BC70-D3FED3CFF0D5}"/>
            </a:ext>
          </a:extLst>
        </xdr:cNvPr>
        <xdr:cNvSpPr/>
      </xdr:nvSpPr>
      <xdr:spPr>
        <a:xfrm>
          <a:off x="669235" y="0"/>
          <a:ext cx="10184295" cy="1129086"/>
        </a:xfrm>
        <a:prstGeom prst="rect">
          <a:avLst/>
        </a:prstGeom>
        <a:gradFill flip="none" rotWithShape="1">
          <a:gsLst>
            <a:gs pos="0">
              <a:srgbClr val="0F2D70"/>
            </a:gs>
            <a:gs pos="100000">
              <a:srgbClr val="5C255F"/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</xdr:row>
          <xdr:rowOff>7620</xdr:rowOff>
        </xdr:from>
        <xdr:to>
          <xdr:col>6</xdr:col>
          <xdr:colOff>411480</xdr:colOff>
          <xdr:row>8</xdr:row>
          <xdr:rowOff>0</xdr:rowOff>
        </xdr:to>
        <xdr:sp macro="" textlink="">
          <xdr:nvSpPr>
            <xdr:cNvPr id="3076" name="Drop Down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15</xdr:col>
      <xdr:colOff>0</xdr:colOff>
      <xdr:row>6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DA916E3-1654-467F-A0DD-4A2675A170FB}"/>
            </a:ext>
          </a:extLst>
        </xdr:cNvPr>
        <xdr:cNvSpPr/>
      </xdr:nvSpPr>
      <xdr:spPr>
        <a:xfrm>
          <a:off x="670560" y="0"/>
          <a:ext cx="10058400" cy="1097280"/>
        </a:xfrm>
        <a:prstGeom prst="rect">
          <a:avLst/>
        </a:prstGeom>
        <a:gradFill flip="none" rotWithShape="1">
          <a:gsLst>
            <a:gs pos="0">
              <a:srgbClr val="0F2D70"/>
            </a:gs>
            <a:gs pos="100000">
              <a:srgbClr val="5C255F"/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16</xdr:col>
      <xdr:colOff>0</xdr:colOff>
      <xdr:row>6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68F9217-7F33-4D63-B3E2-029E8E210303}"/>
            </a:ext>
          </a:extLst>
        </xdr:cNvPr>
        <xdr:cNvSpPr/>
      </xdr:nvSpPr>
      <xdr:spPr>
        <a:xfrm>
          <a:off x="670560" y="0"/>
          <a:ext cx="10058400" cy="1097280"/>
        </a:xfrm>
        <a:prstGeom prst="rect">
          <a:avLst/>
        </a:prstGeom>
        <a:gradFill flip="none" rotWithShape="1">
          <a:gsLst>
            <a:gs pos="0">
              <a:srgbClr val="0F2D70"/>
            </a:gs>
            <a:gs pos="100000">
              <a:srgbClr val="5C255F"/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</xdr:row>
          <xdr:rowOff>7620</xdr:rowOff>
        </xdr:from>
        <xdr:to>
          <xdr:col>6</xdr:col>
          <xdr:colOff>411480</xdr:colOff>
          <xdr:row>8</xdr:row>
          <xdr:rowOff>0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4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DFE5-0984-4CF5-BFDA-5F0FF414F0A0}">
  <dimension ref="B1:M32"/>
  <sheetViews>
    <sheetView showGridLines="0" workbookViewId="0"/>
  </sheetViews>
  <sheetFormatPr defaultRowHeight="14.4" x14ac:dyDescent="0.3"/>
  <cols>
    <col min="2" max="2" width="8.59765625" customWidth="1"/>
    <col min="12" max="12" width="13" customWidth="1"/>
  </cols>
  <sheetData>
    <row r="1" spans="2:13" ht="15" thickBot="1" x14ac:dyDescent="0.35"/>
    <row r="2" spans="2:13" ht="15" thickTop="1" x14ac:dyDescent="0.3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spans="2:13" x14ac:dyDescent="0.3">
      <c r="B3" s="4"/>
      <c r="M3" s="5"/>
    </row>
    <row r="4" spans="2:13" x14ac:dyDescent="0.3">
      <c r="B4" s="4"/>
      <c r="M4" s="5"/>
    </row>
    <row r="5" spans="2:13" x14ac:dyDescent="0.3">
      <c r="B5" s="4"/>
      <c r="M5" s="5"/>
    </row>
    <row r="6" spans="2:13" x14ac:dyDescent="0.3">
      <c r="B6" s="4"/>
      <c r="M6" s="5"/>
    </row>
    <row r="7" spans="2:13" x14ac:dyDescent="0.3">
      <c r="B7" s="4"/>
      <c r="M7" s="5"/>
    </row>
    <row r="8" spans="2:13" x14ac:dyDescent="0.3">
      <c r="B8" s="4"/>
      <c r="M8" s="5"/>
    </row>
    <row r="9" spans="2:13" x14ac:dyDescent="0.3">
      <c r="B9" s="4"/>
      <c r="M9" s="5"/>
    </row>
    <row r="10" spans="2:13" x14ac:dyDescent="0.3">
      <c r="B10" s="4"/>
      <c r="M10" s="5"/>
    </row>
    <row r="11" spans="2:13" ht="31.2" x14ac:dyDescent="0.6">
      <c r="B11" s="6" t="s">
        <v>253</v>
      </c>
      <c r="M11" s="5"/>
    </row>
    <row r="12" spans="2:13" x14ac:dyDescent="0.3">
      <c r="B12" s="4"/>
      <c r="M12" s="5"/>
    </row>
    <row r="13" spans="2:13" ht="21" x14ac:dyDescent="0.4">
      <c r="B13" s="7" t="s">
        <v>0</v>
      </c>
      <c r="M13" s="5"/>
    </row>
    <row r="14" spans="2:13" x14ac:dyDescent="0.3">
      <c r="B14" s="4"/>
      <c r="M14" s="5"/>
    </row>
    <row r="15" spans="2:13" x14ac:dyDescent="0.3">
      <c r="B15" s="4"/>
      <c r="C15" s="8" t="s">
        <v>1</v>
      </c>
      <c r="I15" s="17"/>
      <c r="M15" s="5"/>
    </row>
    <row r="16" spans="2:13" x14ac:dyDescent="0.3">
      <c r="B16" s="4"/>
      <c r="C16" s="8" t="s">
        <v>2</v>
      </c>
      <c r="M16" s="5"/>
    </row>
    <row r="17" spans="2:13" x14ac:dyDescent="0.3">
      <c r="B17" s="4"/>
      <c r="C17" s="8" t="s">
        <v>254</v>
      </c>
      <c r="M17" s="5"/>
    </row>
    <row r="18" spans="2:13" x14ac:dyDescent="0.3">
      <c r="B18" s="4"/>
      <c r="C18" s="8" t="s">
        <v>227</v>
      </c>
      <c r="M18" s="5"/>
    </row>
    <row r="19" spans="2:13" x14ac:dyDescent="0.3">
      <c r="B19" s="4"/>
      <c r="C19" s="8"/>
      <c r="M19" s="5"/>
    </row>
    <row r="20" spans="2:13" x14ac:dyDescent="0.3">
      <c r="B20" s="4"/>
      <c r="M20" s="5"/>
    </row>
    <row r="21" spans="2:13" x14ac:dyDescent="0.3">
      <c r="B21" s="4"/>
      <c r="M21" s="5"/>
    </row>
    <row r="22" spans="2:13" x14ac:dyDescent="0.3">
      <c r="B22" s="4"/>
      <c r="C22" s="222"/>
      <c r="D22" s="222"/>
      <c r="E22" s="222"/>
      <c r="F22" s="222"/>
      <c r="G22" s="222"/>
      <c r="H22" s="222"/>
      <c r="I22" s="222"/>
      <c r="J22" s="222"/>
      <c r="K22" s="222"/>
      <c r="L22" s="222"/>
      <c r="M22" s="5"/>
    </row>
    <row r="23" spans="2:13" x14ac:dyDescent="0.3">
      <c r="B23" s="4"/>
      <c r="C23" s="222"/>
      <c r="D23" s="222"/>
      <c r="E23" s="222"/>
      <c r="F23" s="222"/>
      <c r="G23" s="222"/>
      <c r="H23" s="222"/>
      <c r="I23" s="222"/>
      <c r="J23" s="222"/>
      <c r="K23" s="222"/>
      <c r="L23" s="222"/>
      <c r="M23" s="5"/>
    </row>
    <row r="24" spans="2:13" ht="15.6" x14ac:dyDescent="0.3">
      <c r="B24" s="4"/>
      <c r="C24" s="223"/>
      <c r="D24" s="222"/>
      <c r="E24" s="222"/>
      <c r="F24" s="222"/>
      <c r="G24" s="222"/>
      <c r="H24" s="222"/>
      <c r="I24" s="222"/>
      <c r="J24" s="222"/>
      <c r="K24" s="222"/>
      <c r="L24" s="222"/>
      <c r="M24" s="5"/>
    </row>
    <row r="25" spans="2:13" x14ac:dyDescent="0.3">
      <c r="B25" s="4"/>
      <c r="C25" s="224"/>
      <c r="D25" s="222"/>
      <c r="E25" s="222"/>
      <c r="F25" s="222"/>
      <c r="G25" s="222"/>
      <c r="H25" s="222"/>
      <c r="I25" s="222"/>
      <c r="J25" s="222"/>
      <c r="K25" s="222"/>
      <c r="L25" s="222"/>
      <c r="M25" s="5"/>
    </row>
    <row r="26" spans="2:13" x14ac:dyDescent="0.3">
      <c r="B26" s="4"/>
      <c r="C26" s="224"/>
      <c r="D26" s="222"/>
      <c r="E26" s="222"/>
      <c r="F26" s="222"/>
      <c r="G26" s="222"/>
      <c r="H26" s="222"/>
      <c r="I26" s="222"/>
      <c r="J26" s="222"/>
      <c r="K26" s="222"/>
      <c r="L26" s="222"/>
      <c r="M26" s="5"/>
    </row>
    <row r="27" spans="2:13" x14ac:dyDescent="0.3">
      <c r="B27" s="4"/>
      <c r="C27" s="224"/>
      <c r="D27" s="222"/>
      <c r="E27" s="222"/>
      <c r="F27" s="222"/>
      <c r="G27" s="222"/>
      <c r="H27" s="222"/>
      <c r="I27" s="222"/>
      <c r="J27" s="222"/>
      <c r="K27" s="222"/>
      <c r="L27" s="222"/>
      <c r="M27" s="5"/>
    </row>
    <row r="28" spans="2:13" x14ac:dyDescent="0.3">
      <c r="B28" s="4"/>
      <c r="C28" s="225"/>
      <c r="D28" s="222"/>
      <c r="E28" s="222"/>
      <c r="F28" s="222"/>
      <c r="G28" s="222"/>
      <c r="H28" s="222"/>
      <c r="I28" s="222"/>
      <c r="J28" s="222"/>
      <c r="K28" s="222"/>
      <c r="L28" s="222"/>
      <c r="M28" s="5"/>
    </row>
    <row r="29" spans="2:13" x14ac:dyDescent="0.3">
      <c r="B29" s="4"/>
      <c r="C29" s="222"/>
      <c r="D29" s="222"/>
      <c r="E29" s="222"/>
      <c r="F29" s="222"/>
      <c r="G29" s="222"/>
      <c r="H29" s="222"/>
      <c r="I29" s="222"/>
      <c r="J29" s="222"/>
      <c r="K29" s="222"/>
      <c r="L29" s="222"/>
      <c r="M29" s="5"/>
    </row>
    <row r="30" spans="2:13" x14ac:dyDescent="0.3">
      <c r="B30" s="4"/>
      <c r="M30" s="5"/>
    </row>
    <row r="31" spans="2:13" ht="15" thickBot="1" x14ac:dyDescent="0.35"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3"/>
    </row>
    <row r="32" spans="2:13" ht="15" thickTop="1" x14ac:dyDescent="0.3"/>
  </sheetData>
  <hyperlinks>
    <hyperlink ref="C15" location="Outputs!A1" display="Outputs" xr:uid="{1D301980-0E6E-45A0-8474-539AF75F0ED2}"/>
    <hyperlink ref="C17" location="'Comps Table'!A1" display="Comparative Valuation " xr:uid="{6CD8CD79-E436-4651-A031-D835951F9BE4}"/>
    <hyperlink ref="C16" location="Inputs!A1" display="Inputs" xr:uid="{312DA0AD-A8A9-47DB-B05D-383EE0568CD9}"/>
    <hyperlink ref="C18" location="'DCF Valuation'!A1" display="DCF Valuation" xr:uid="{232DCC04-8B69-463A-826B-A6D4A914CABB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5AC77-27F0-4216-A342-1C4E643F56E2}">
  <dimension ref="B1:Q92"/>
  <sheetViews>
    <sheetView showGridLines="0" tabSelected="1" zoomScaleNormal="100" workbookViewId="0"/>
  </sheetViews>
  <sheetFormatPr defaultRowHeight="14.4" x14ac:dyDescent="0.3"/>
  <cols>
    <col min="2" max="2" width="10.796875" customWidth="1"/>
    <col min="5" max="5" width="10.3984375" customWidth="1"/>
    <col min="6" max="6" width="8.796875" customWidth="1"/>
    <col min="7" max="7" width="10.19921875" customWidth="1"/>
    <col min="8" max="8" width="9.8984375" style="103" bestFit="1" customWidth="1"/>
    <col min="9" max="17" width="8.796875" style="103"/>
  </cols>
  <sheetData>
    <row r="1" spans="2:17" x14ac:dyDescent="0.3">
      <c r="H1"/>
      <c r="I1"/>
      <c r="J1"/>
      <c r="K1"/>
      <c r="L1"/>
      <c r="M1"/>
      <c r="N1"/>
      <c r="O1"/>
      <c r="P1"/>
      <c r="Q1"/>
    </row>
    <row r="2" spans="2:17" x14ac:dyDescent="0.3">
      <c r="H2"/>
      <c r="I2"/>
      <c r="J2"/>
      <c r="K2"/>
      <c r="L2"/>
      <c r="M2"/>
      <c r="N2"/>
      <c r="O2"/>
      <c r="P2"/>
      <c r="Q2"/>
    </row>
    <row r="3" spans="2:17" x14ac:dyDescent="0.3">
      <c r="H3"/>
      <c r="I3"/>
      <c r="J3"/>
      <c r="K3"/>
      <c r="L3"/>
      <c r="M3"/>
      <c r="N3"/>
      <c r="O3"/>
      <c r="P3"/>
      <c r="Q3"/>
    </row>
    <row r="4" spans="2:17" x14ac:dyDescent="0.3">
      <c r="H4"/>
      <c r="I4"/>
      <c r="J4"/>
      <c r="K4"/>
      <c r="L4"/>
      <c r="M4"/>
      <c r="N4"/>
      <c r="O4"/>
      <c r="P4"/>
      <c r="Q4"/>
    </row>
    <row r="5" spans="2:17" x14ac:dyDescent="0.3">
      <c r="H5"/>
      <c r="I5"/>
      <c r="J5"/>
      <c r="K5"/>
      <c r="L5"/>
      <c r="M5"/>
      <c r="N5"/>
      <c r="O5"/>
      <c r="P5"/>
      <c r="Q5"/>
    </row>
    <row r="6" spans="2:17" x14ac:dyDescent="0.3">
      <c r="H6"/>
      <c r="I6"/>
      <c r="J6"/>
      <c r="K6"/>
      <c r="L6"/>
      <c r="M6"/>
      <c r="N6"/>
      <c r="O6"/>
      <c r="P6"/>
      <c r="Q6"/>
    </row>
    <row r="7" spans="2:17" x14ac:dyDescent="0.3">
      <c r="H7"/>
      <c r="I7"/>
      <c r="J7"/>
      <c r="K7"/>
      <c r="L7"/>
      <c r="M7"/>
      <c r="N7"/>
      <c r="O7"/>
      <c r="P7"/>
      <c r="Q7"/>
    </row>
    <row r="8" spans="2:17" ht="18" x14ac:dyDescent="0.35">
      <c r="B8" s="15" t="s">
        <v>136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2:17" x14ac:dyDescent="0.3">
      <c r="H9"/>
      <c r="I9"/>
      <c r="J9"/>
      <c r="K9"/>
      <c r="L9"/>
      <c r="M9"/>
      <c r="N9"/>
      <c r="O9"/>
      <c r="P9"/>
      <c r="Q9"/>
    </row>
    <row r="10" spans="2:17" x14ac:dyDescent="0.3">
      <c r="B10" s="17" t="s">
        <v>16</v>
      </c>
      <c r="H10" s="18">
        <v>2024</v>
      </c>
      <c r="I10" s="18">
        <f>H10 + 1</f>
        <v>2025</v>
      </c>
      <c r="J10" s="19">
        <f t="shared" ref="J10:N10" si="0">I10 + 1</f>
        <v>2026</v>
      </c>
      <c r="K10" s="19">
        <f t="shared" si="0"/>
        <v>2027</v>
      </c>
      <c r="L10" s="19">
        <f t="shared" si="0"/>
        <v>2028</v>
      </c>
      <c r="M10" s="19">
        <f t="shared" si="0"/>
        <v>2029</v>
      </c>
      <c r="N10" s="19">
        <f t="shared" si="0"/>
        <v>2030</v>
      </c>
      <c r="O10"/>
      <c r="P10"/>
      <c r="Q10"/>
    </row>
    <row r="11" spans="2:17" x14ac:dyDescent="0.3">
      <c r="H11" s="41"/>
      <c r="I11" s="41"/>
      <c r="J11" s="41"/>
      <c r="K11" s="41"/>
      <c r="L11" s="41"/>
      <c r="M11" s="41"/>
      <c r="N11" s="41"/>
      <c r="O11" s="41"/>
      <c r="P11" s="41"/>
      <c r="Q11" s="41"/>
    </row>
    <row r="12" spans="2:17" x14ac:dyDescent="0.3">
      <c r="B12" t="s">
        <v>138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</row>
    <row r="13" spans="2:17" x14ac:dyDescent="0.3">
      <c r="B13" s="17" t="str">
        <f>_xlfn.CONCAT("Model Currently Running:", " ", INDEX(Inputs!$B$15:$B$17, Inputs!$F$8), " ", "Scenario")</f>
        <v>Model Currently Running: Base Case Scenario</v>
      </c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2:17" x14ac:dyDescent="0.3">
      <c r="B14" s="17"/>
      <c r="H14" s="41"/>
      <c r="I14" s="41"/>
      <c r="J14" s="41"/>
      <c r="K14" s="41"/>
      <c r="L14" s="41"/>
      <c r="M14" s="41"/>
      <c r="N14" s="41"/>
      <c r="O14" s="41"/>
      <c r="P14" s="41"/>
      <c r="Q14" s="41"/>
    </row>
    <row r="15" spans="2:17" x14ac:dyDescent="0.3">
      <c r="B15" s="16" t="s">
        <v>137</v>
      </c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2:17" x14ac:dyDescent="0.3">
      <c r="H16" s="41"/>
      <c r="I16" s="41"/>
      <c r="J16" s="41"/>
      <c r="K16" s="41"/>
      <c r="L16" s="41"/>
      <c r="M16" s="41"/>
      <c r="N16" s="41"/>
      <c r="O16" s="41"/>
      <c r="P16" s="41"/>
      <c r="Q16" s="41"/>
    </row>
    <row r="17" spans="2:17" x14ac:dyDescent="0.3">
      <c r="B17" t="s">
        <v>4</v>
      </c>
      <c r="H17" s="41">
        <f>'DCF Valuation'!H13</f>
        <v>74537</v>
      </c>
      <c r="I17" s="41">
        <f>'DCF Valuation'!I13</f>
        <v>85498</v>
      </c>
      <c r="J17" s="41">
        <f>'DCF Valuation'!J13</f>
        <v>98322.7</v>
      </c>
      <c r="K17" s="41">
        <f>'DCF Valuation'!K13</f>
        <v>112579.4915</v>
      </c>
      <c r="L17" s="41">
        <f>'DCF Valuation'!L13</f>
        <v>128340.62031</v>
      </c>
      <c r="M17" s="41">
        <f>'DCF Valuation'!M13</f>
        <v>145987.45560262501</v>
      </c>
      <c r="N17" s="41">
        <f>'DCF Valuation'!N13</f>
        <v>165695.7621089794</v>
      </c>
      <c r="O17" s="41"/>
      <c r="P17" s="41"/>
      <c r="Q17" s="41"/>
    </row>
    <row r="18" spans="2:17" x14ac:dyDescent="0.3">
      <c r="H18" s="41"/>
      <c r="I18" s="41"/>
      <c r="J18" s="41"/>
      <c r="K18" s="41"/>
      <c r="L18" s="41"/>
      <c r="M18" s="41"/>
      <c r="N18" s="41"/>
      <c r="O18" s="41"/>
      <c r="P18" s="41"/>
      <c r="Q18" s="41"/>
    </row>
    <row r="19" spans="2:17" x14ac:dyDescent="0.3">
      <c r="B19" t="s">
        <v>8</v>
      </c>
      <c r="H19" s="41">
        <f>'DCF Valuation'!H18</f>
        <v>19774</v>
      </c>
      <c r="I19" s="41">
        <f>'DCF Valuation'!I18</f>
        <v>23555</v>
      </c>
      <c r="J19" s="41">
        <f>'DCF Valuation'!J18</f>
        <v>34412.944999999992</v>
      </c>
      <c r="K19" s="41">
        <f>'DCF Valuation'!K18</f>
        <v>38839.924567500006</v>
      </c>
      <c r="L19" s="41">
        <f>'DCF Valuation'!L18</f>
        <v>43635.810905399994</v>
      </c>
      <c r="M19" s="41">
        <f>'DCF Valuation'!M18</f>
        <v>48905.797626879379</v>
      </c>
      <c r="N19" s="41">
        <f>'DCF Valuation'!N18</f>
        <v>54679.601495963201</v>
      </c>
      <c r="O19" s="41"/>
      <c r="P19" s="41"/>
      <c r="Q19" s="41"/>
    </row>
    <row r="20" spans="2:17" x14ac:dyDescent="0.3">
      <c r="B20" s="101" t="s">
        <v>139</v>
      </c>
      <c r="C20" s="101"/>
      <c r="D20" s="101"/>
      <c r="E20" s="101"/>
      <c r="F20" s="101"/>
      <c r="G20" s="101"/>
      <c r="H20" s="102">
        <f>H19/H17</f>
        <v>0.2652910634986651</v>
      </c>
      <c r="I20" s="102">
        <f t="shared" ref="I20:N20" si="1">I19/I17</f>
        <v>0.27550352055018829</v>
      </c>
      <c r="J20" s="102">
        <f t="shared" si="1"/>
        <v>0.34999999999999992</v>
      </c>
      <c r="K20" s="102">
        <f t="shared" si="1"/>
        <v>0.34500000000000003</v>
      </c>
      <c r="L20" s="102">
        <f t="shared" si="1"/>
        <v>0.33999999999999997</v>
      </c>
      <c r="M20" s="102">
        <f t="shared" si="1"/>
        <v>0.33500000000000002</v>
      </c>
      <c r="N20" s="102">
        <f t="shared" si="1"/>
        <v>0.33</v>
      </c>
      <c r="O20" s="41"/>
      <c r="P20" s="41"/>
      <c r="Q20" s="41"/>
    </row>
    <row r="21" spans="2:17" x14ac:dyDescent="0.3">
      <c r="H21" s="41"/>
      <c r="I21" s="41"/>
      <c r="J21" s="41"/>
      <c r="K21" s="41"/>
      <c r="L21" s="41"/>
      <c r="M21" s="41"/>
      <c r="N21" s="41"/>
      <c r="O21" s="41"/>
      <c r="P21" s="41"/>
      <c r="Q21" s="41"/>
    </row>
    <row r="22" spans="2:17" x14ac:dyDescent="0.3">
      <c r="B22" t="s">
        <v>15</v>
      </c>
      <c r="H22" s="41">
        <f>'DCF Valuation'!H30</f>
        <v>10105</v>
      </c>
      <c r="I22" s="41">
        <f>'DCF Valuation'!I30</f>
        <v>12599</v>
      </c>
      <c r="J22" s="41">
        <f>'DCF Valuation'!J30</f>
        <v>15771.66988114285</v>
      </c>
      <c r="K22" s="41">
        <f>'DCF Valuation'!K30</f>
        <v>18423.696858222858</v>
      </c>
      <c r="L22" s="41">
        <f>'DCF Valuation'!L30</f>
        <v>21254.885099498053</v>
      </c>
      <c r="M22" s="41">
        <f>'DCF Valuation'!M30</f>
        <v>24331.210680334854</v>
      </c>
      <c r="N22" s="41">
        <f>'DCF Valuation'!N30</f>
        <v>27662.701799065784</v>
      </c>
      <c r="O22" s="41"/>
      <c r="P22" s="41"/>
      <c r="Q22" s="41"/>
    </row>
    <row r="23" spans="2:17" x14ac:dyDescent="0.3">
      <c r="B23" s="101" t="s">
        <v>140</v>
      </c>
      <c r="C23" s="101"/>
      <c r="D23" s="101"/>
      <c r="E23" s="101"/>
      <c r="F23" s="101"/>
      <c r="G23" s="101"/>
      <c r="H23" s="102">
        <f>H22/H17</f>
        <v>0.13557025369950496</v>
      </c>
      <c r="I23" s="102">
        <f t="shared" ref="I23:N23" si="2">I22/I17</f>
        <v>0.14736017216777</v>
      </c>
      <c r="J23" s="102">
        <f t="shared" si="2"/>
        <v>0.160407208926757</v>
      </c>
      <c r="K23" s="102">
        <f t="shared" si="2"/>
        <v>0.16365056026410332</v>
      </c>
      <c r="L23" s="102">
        <f t="shared" si="2"/>
        <v>0.16561307751324561</v>
      </c>
      <c r="M23" s="102">
        <f t="shared" si="2"/>
        <v>0.16666644801704014</v>
      </c>
      <c r="N23" s="102">
        <f t="shared" si="2"/>
        <v>0.16694875865848524</v>
      </c>
      <c r="O23" s="41"/>
      <c r="P23" s="41"/>
      <c r="Q23" s="41"/>
    </row>
    <row r="24" spans="2:17" x14ac:dyDescent="0.3">
      <c r="H24" s="41"/>
      <c r="I24" s="41"/>
      <c r="J24" s="41"/>
      <c r="K24" s="41"/>
      <c r="L24" s="41"/>
      <c r="M24" s="41"/>
      <c r="N24" s="41"/>
      <c r="O24" s="41"/>
      <c r="P24" s="41"/>
      <c r="Q24" s="41"/>
    </row>
    <row r="25" spans="2:17" x14ac:dyDescent="0.3">
      <c r="H25" s="41"/>
      <c r="I25" s="41"/>
      <c r="J25" s="41"/>
      <c r="K25" s="41"/>
      <c r="L25" s="41"/>
      <c r="M25" s="41"/>
      <c r="N25" s="41"/>
      <c r="O25" s="41"/>
      <c r="P25" s="41"/>
      <c r="Q25" s="41"/>
    </row>
    <row r="26" spans="2:17" x14ac:dyDescent="0.3">
      <c r="B26" s="16" t="s">
        <v>141</v>
      </c>
      <c r="H26" s="41"/>
      <c r="I26" s="41"/>
      <c r="J26" s="41"/>
      <c r="K26" s="41"/>
      <c r="L26" s="41"/>
      <c r="M26" s="41"/>
      <c r="N26" s="41"/>
      <c r="O26" s="41"/>
      <c r="P26" s="41"/>
      <c r="Q26" s="41"/>
    </row>
    <row r="27" spans="2:17" x14ac:dyDescent="0.3">
      <c r="H27" s="41"/>
      <c r="I27" s="41"/>
      <c r="J27" s="41"/>
      <c r="K27" s="41"/>
      <c r="L27" s="41"/>
      <c r="M27" s="41"/>
      <c r="N27" s="41"/>
      <c r="O27" s="41"/>
      <c r="P27" s="41"/>
      <c r="Q27" s="41"/>
    </row>
    <row r="28" spans="2:17" x14ac:dyDescent="0.3">
      <c r="B28" t="s">
        <v>142</v>
      </c>
      <c r="H28" s="41"/>
      <c r="I28" s="41"/>
      <c r="J28" s="41">
        <f>'DCF Valuation'!J48</f>
        <v>24714.559947287664</v>
      </c>
      <c r="K28" s="41">
        <f>'DCF Valuation'!K48</f>
        <v>28519.346801823158</v>
      </c>
      <c r="L28" s="41">
        <f>'DCF Valuation'!L48</f>
        <v>32279.661420347249</v>
      </c>
      <c r="M28" s="41">
        <f>'DCF Valuation'!M48</f>
        <v>36408.146756104201</v>
      </c>
      <c r="N28" s="41">
        <f>'DCF Valuation'!N48</f>
        <v>40939.289668621292</v>
      </c>
      <c r="O28" s="41"/>
      <c r="P28" s="41"/>
      <c r="Q28" s="41"/>
    </row>
    <row r="29" spans="2:17" x14ac:dyDescent="0.3">
      <c r="B29" t="s">
        <v>143</v>
      </c>
      <c r="H29" s="41"/>
      <c r="I29" s="41"/>
      <c r="J29" s="41">
        <f>'DCF Valuation'!J57</f>
        <v>-14812.315999999993</v>
      </c>
      <c r="K29" s="41">
        <f>'DCF Valuation'!K57</f>
        <v>-16728.551820000001</v>
      </c>
      <c r="L29" s="41">
        <f>'DCF Valuation'!L57</f>
        <v>-18804.266574799993</v>
      </c>
      <c r="M29" s="41">
        <f>'DCF Valuation'!M57</f>
        <v>-21237.406497584998</v>
      </c>
      <c r="N29" s="41">
        <f>'DCF Valuation'!N57</f>
        <v>-23930.667101133979</v>
      </c>
      <c r="O29" s="41"/>
      <c r="P29" s="41"/>
      <c r="Q29" s="41"/>
    </row>
    <row r="30" spans="2:17" x14ac:dyDescent="0.3">
      <c r="B30" t="s">
        <v>144</v>
      </c>
      <c r="H30" s="41"/>
      <c r="I30" s="41"/>
      <c r="J30" s="41">
        <f>'DCF Valuation'!J66</f>
        <v>-2036.0587351428571</v>
      </c>
      <c r="K30" s="41">
        <f>'DCF Valuation'!K66</f>
        <v>-2263.1091072778572</v>
      </c>
      <c r="L30" s="41">
        <f>'DCF Valuation'!L66</f>
        <v>-2507.285217437257</v>
      </c>
      <c r="M30" s="41">
        <f>'DCF Valuation'!M66</f>
        <v>-2754.2874272918566</v>
      </c>
      <c r="N30" s="41">
        <f>'DCF Valuation'!N66</f>
        <v>-3020.3655106369724</v>
      </c>
      <c r="O30" s="41"/>
      <c r="P30" s="41"/>
      <c r="Q30" s="41"/>
    </row>
    <row r="31" spans="2:17" x14ac:dyDescent="0.3">
      <c r="B31" t="s">
        <v>72</v>
      </c>
      <c r="H31" s="41"/>
      <c r="I31" s="41"/>
      <c r="J31" s="42">
        <f>SUM(J28:J30)</f>
        <v>7866.1852121448137</v>
      </c>
      <c r="K31" s="42">
        <f t="shared" ref="K31:N31" si="3">SUM(K28:K30)</f>
        <v>9527.6858745452992</v>
      </c>
      <c r="L31" s="42">
        <f t="shared" si="3"/>
        <v>10968.10962811</v>
      </c>
      <c r="M31" s="42">
        <f t="shared" si="3"/>
        <v>12416.452831227347</v>
      </c>
      <c r="N31" s="42">
        <f t="shared" si="3"/>
        <v>13988.25705685034</v>
      </c>
      <c r="O31" s="41"/>
      <c r="P31" s="41"/>
      <c r="Q31" s="41"/>
    </row>
    <row r="32" spans="2:17" x14ac:dyDescent="0.3">
      <c r="H32" s="41"/>
      <c r="I32" s="41"/>
      <c r="J32" s="41"/>
      <c r="K32" s="41"/>
      <c r="L32" s="41"/>
      <c r="M32" s="41"/>
      <c r="N32" s="41"/>
      <c r="O32" s="41"/>
      <c r="P32" s="41"/>
      <c r="Q32" s="41"/>
    </row>
    <row r="33" spans="2:17" x14ac:dyDescent="0.3">
      <c r="B33" t="s">
        <v>218</v>
      </c>
      <c r="H33" s="41"/>
      <c r="I33" s="41"/>
      <c r="J33" s="42">
        <f>'DCF Valuation'!J269</f>
        <v>21860.398769205472</v>
      </c>
      <c r="K33" s="42">
        <f>'DCF Valuation'!K269</f>
        <v>24918.090647302612</v>
      </c>
      <c r="L33" s="42">
        <f>'DCF Valuation'!L269</f>
        <v>27717.493007566423</v>
      </c>
      <c r="M33" s="42">
        <f>'DCF Valuation'!M269</f>
        <v>30827.871360992754</v>
      </c>
      <c r="N33" s="42">
        <f>'DCF Valuation'!N269</f>
        <v>34220.18447320041</v>
      </c>
      <c r="O33" s="41"/>
      <c r="P33" s="41"/>
      <c r="Q33" s="41"/>
    </row>
    <row r="34" spans="2:17" x14ac:dyDescent="0.3">
      <c r="H34" s="41"/>
      <c r="I34" s="41"/>
      <c r="J34" s="41"/>
      <c r="K34" s="41"/>
      <c r="L34" s="41"/>
      <c r="M34" s="41"/>
      <c r="N34" s="41"/>
      <c r="O34" s="41"/>
      <c r="P34" s="41"/>
      <c r="Q34" s="41"/>
    </row>
    <row r="35" spans="2:17" x14ac:dyDescent="0.3">
      <c r="H35" s="41"/>
      <c r="I35" s="41"/>
      <c r="J35" s="41"/>
      <c r="K35" s="41"/>
      <c r="L35" s="41"/>
      <c r="M35" s="41"/>
      <c r="N35" s="41"/>
      <c r="O35" s="41"/>
      <c r="P35" s="41"/>
      <c r="Q35" s="41"/>
    </row>
    <row r="36" spans="2:17" x14ac:dyDescent="0.3">
      <c r="H36" s="41"/>
      <c r="I36" s="41"/>
      <c r="J36" s="41"/>
      <c r="K36" s="41"/>
      <c r="L36" s="41"/>
      <c r="M36" s="41"/>
      <c r="N36" s="41"/>
      <c r="O36" s="41"/>
      <c r="P36" s="41"/>
      <c r="Q36" s="41"/>
    </row>
    <row r="37" spans="2:17" x14ac:dyDescent="0.3">
      <c r="H37" s="41"/>
      <c r="I37" s="41"/>
      <c r="J37" s="41"/>
      <c r="K37" s="41"/>
      <c r="L37" s="41"/>
      <c r="M37" s="41"/>
      <c r="N37" s="41"/>
      <c r="O37" s="41"/>
      <c r="P37" s="41"/>
      <c r="Q37" s="41"/>
    </row>
    <row r="38" spans="2:17" x14ac:dyDescent="0.3">
      <c r="H38" s="41"/>
      <c r="I38" s="41"/>
      <c r="J38" s="41"/>
      <c r="K38" s="41"/>
      <c r="L38" s="41"/>
      <c r="M38" s="41"/>
      <c r="N38" s="41"/>
      <c r="O38" s="41"/>
      <c r="P38" s="41"/>
      <c r="Q38" s="41"/>
    </row>
    <row r="39" spans="2:17" x14ac:dyDescent="0.3">
      <c r="H39" s="41"/>
      <c r="I39" s="41"/>
      <c r="J39" s="41"/>
      <c r="K39" s="41"/>
      <c r="L39" s="41"/>
      <c r="M39" s="41"/>
      <c r="N39" s="41"/>
      <c r="O39" s="41"/>
      <c r="P39" s="41"/>
      <c r="Q39" s="41"/>
    </row>
    <row r="40" spans="2:17" x14ac:dyDescent="0.3">
      <c r="H40" s="41"/>
      <c r="I40" s="41"/>
      <c r="J40" s="41"/>
      <c r="K40" s="41"/>
      <c r="L40" s="41"/>
      <c r="M40" s="41"/>
      <c r="N40" s="41"/>
      <c r="O40" s="41"/>
      <c r="P40" s="41"/>
      <c r="Q40" s="41"/>
    </row>
    <row r="41" spans="2:17" x14ac:dyDescent="0.3">
      <c r="H41" s="41"/>
      <c r="I41" s="41"/>
      <c r="J41" s="41"/>
      <c r="K41" s="41"/>
      <c r="L41" s="41"/>
      <c r="M41" s="41"/>
      <c r="N41" s="41"/>
      <c r="O41" s="41"/>
      <c r="P41" s="41"/>
      <c r="Q41" s="41"/>
    </row>
    <row r="42" spans="2:17" x14ac:dyDescent="0.3">
      <c r="H42" s="41"/>
      <c r="I42" s="41"/>
      <c r="J42" s="41"/>
      <c r="K42" s="41"/>
      <c r="L42" s="41"/>
      <c r="M42" s="41"/>
      <c r="N42" s="41"/>
      <c r="O42" s="41"/>
      <c r="P42" s="41"/>
      <c r="Q42" s="41"/>
    </row>
    <row r="43" spans="2:17" x14ac:dyDescent="0.3">
      <c r="H43" s="41"/>
      <c r="I43" s="41"/>
      <c r="J43" s="41"/>
      <c r="K43" s="41"/>
      <c r="L43" s="41"/>
      <c r="M43" s="41"/>
      <c r="N43" s="41"/>
      <c r="O43" s="41"/>
      <c r="P43" s="41"/>
      <c r="Q43" s="41"/>
    </row>
    <row r="44" spans="2:17" x14ac:dyDescent="0.3">
      <c r="H44" s="41"/>
      <c r="I44" s="41"/>
      <c r="J44" s="41"/>
      <c r="K44" s="41"/>
      <c r="L44" s="41"/>
      <c r="M44" s="41"/>
      <c r="N44" s="41"/>
      <c r="O44" s="41"/>
      <c r="P44" s="41"/>
      <c r="Q44" s="41"/>
    </row>
    <row r="45" spans="2:17" x14ac:dyDescent="0.3">
      <c r="H45" s="41"/>
      <c r="I45" s="41"/>
      <c r="J45" s="41"/>
      <c r="K45" s="41"/>
      <c r="L45" s="41"/>
      <c r="M45" s="41"/>
      <c r="N45" s="41"/>
      <c r="O45" s="41"/>
      <c r="P45" s="41"/>
      <c r="Q45" s="41"/>
    </row>
    <row r="46" spans="2:17" x14ac:dyDescent="0.3">
      <c r="H46" s="41"/>
      <c r="I46" s="41"/>
      <c r="J46" s="41"/>
      <c r="K46" s="41"/>
      <c r="L46" s="41"/>
      <c r="M46" s="41"/>
      <c r="N46" s="41"/>
      <c r="O46" s="41"/>
      <c r="P46" s="41"/>
      <c r="Q46" s="41"/>
    </row>
    <row r="47" spans="2:17" x14ac:dyDescent="0.3">
      <c r="H47" s="41"/>
      <c r="I47" s="41"/>
      <c r="J47" s="41"/>
      <c r="K47" s="41"/>
      <c r="L47" s="41"/>
      <c r="M47" s="41"/>
      <c r="N47" s="41"/>
      <c r="O47" s="41"/>
      <c r="P47" s="41"/>
      <c r="Q47" s="41"/>
    </row>
    <row r="48" spans="2:17" x14ac:dyDescent="0.3">
      <c r="H48" s="41"/>
      <c r="I48" s="41"/>
      <c r="J48" s="41"/>
      <c r="K48" s="41"/>
      <c r="L48" s="41"/>
      <c r="M48" s="41"/>
      <c r="N48" s="41"/>
      <c r="O48" s="41"/>
      <c r="P48" s="41"/>
      <c r="Q48" s="41"/>
    </row>
    <row r="49" spans="2:17" x14ac:dyDescent="0.3">
      <c r="H49" s="41"/>
      <c r="I49" s="41"/>
      <c r="J49" s="41"/>
      <c r="K49" s="41"/>
      <c r="L49" s="41"/>
      <c r="M49" s="41"/>
      <c r="N49" s="41"/>
      <c r="O49" s="41"/>
      <c r="P49" s="41"/>
      <c r="Q49" s="41"/>
    </row>
    <row r="50" spans="2:17" x14ac:dyDescent="0.3">
      <c r="H50" s="41"/>
      <c r="I50" s="41"/>
      <c r="J50" s="41"/>
      <c r="K50" s="41"/>
      <c r="L50" s="41"/>
      <c r="M50" s="41"/>
      <c r="N50" s="41"/>
      <c r="O50" s="41"/>
      <c r="P50" s="41"/>
      <c r="Q50" s="41"/>
    </row>
    <row r="51" spans="2:17" x14ac:dyDescent="0.3">
      <c r="H51" s="41"/>
      <c r="I51" s="41"/>
      <c r="J51" s="41"/>
      <c r="K51" s="41"/>
      <c r="L51" s="41"/>
      <c r="M51" s="41"/>
      <c r="N51" s="41"/>
      <c r="O51" s="41"/>
      <c r="P51" s="41"/>
      <c r="Q51" s="41"/>
    </row>
    <row r="52" spans="2:17" x14ac:dyDescent="0.3">
      <c r="H52" s="41"/>
      <c r="I52" s="41"/>
      <c r="J52" s="41"/>
      <c r="K52" s="41"/>
      <c r="L52" s="41"/>
      <c r="M52" s="41"/>
      <c r="N52" s="41"/>
      <c r="O52" s="41"/>
      <c r="P52" s="41"/>
      <c r="Q52" s="41"/>
    </row>
    <row r="54" spans="2:17" x14ac:dyDescent="0.3">
      <c r="B54" s="20" t="s">
        <v>227</v>
      </c>
      <c r="C54" s="21"/>
      <c r="K54" s="164" t="s">
        <v>221</v>
      </c>
      <c r="L54" s="165"/>
    </row>
    <row r="55" spans="2:17" x14ac:dyDescent="0.3">
      <c r="B55" s="16"/>
    </row>
    <row r="56" spans="2:17" x14ac:dyDescent="0.3">
      <c r="C56" s="20" t="s">
        <v>222</v>
      </c>
      <c r="D56" s="20"/>
      <c r="E56" s="20" t="s">
        <v>211</v>
      </c>
      <c r="F56" s="20"/>
      <c r="G56" s="20" t="s">
        <v>213</v>
      </c>
      <c r="K56" s="22" t="s">
        <v>220</v>
      </c>
      <c r="L56"/>
      <c r="M56"/>
      <c r="N56" s="38" t="s">
        <v>214</v>
      </c>
      <c r="O56" s="166">
        <f>Inputs!K60</f>
        <v>143.78465700000001</v>
      </c>
    </row>
    <row r="57" spans="2:17" x14ac:dyDescent="0.3">
      <c r="C57" s="155" t="s">
        <v>77</v>
      </c>
      <c r="E57" s="41">
        <f>Inputs!O16</f>
        <v>365397.34036045137</v>
      </c>
      <c r="G57" s="41">
        <f>E57/$O$56</f>
        <v>2541.2818584701381</v>
      </c>
      <c r="K57" s="163" t="s">
        <v>205</v>
      </c>
      <c r="O57" s="167">
        <f>Inputs!F103</f>
        <v>0.11768508409086835</v>
      </c>
    </row>
    <row r="58" spans="2:17" x14ac:dyDescent="0.3">
      <c r="C58" s="155" t="s">
        <v>78</v>
      </c>
      <c r="E58" s="41">
        <f>Inputs!O17</f>
        <v>315962.17868783482</v>
      </c>
      <c r="G58" s="41">
        <f>E58/$O$56</f>
        <v>2197.4679724543544</v>
      </c>
      <c r="K58" s="163" t="s">
        <v>204</v>
      </c>
      <c r="O58" s="167">
        <f>'DCF Valuation'!E272</f>
        <v>0.03</v>
      </c>
    </row>
    <row r="59" spans="2:17" x14ac:dyDescent="0.3">
      <c r="C59" s="156" t="s">
        <v>79</v>
      </c>
      <c r="D59" s="10"/>
      <c r="E59" s="53">
        <f>Inputs!O18</f>
        <v>269645.49696538894</v>
      </c>
      <c r="F59" s="10"/>
      <c r="G59" s="53">
        <f>E59/$O$56</f>
        <v>1875.3426310666021</v>
      </c>
      <c r="K59" s="163" t="s">
        <v>178</v>
      </c>
      <c r="O59" s="169">
        <f>-'DCF Valuation'!F286</f>
        <v>22376</v>
      </c>
    </row>
    <row r="60" spans="2:17" x14ac:dyDescent="0.3">
      <c r="K60" s="163" t="s">
        <v>229</v>
      </c>
      <c r="O60" s="170">
        <f>Inputs!K62</f>
        <v>8075</v>
      </c>
    </row>
    <row r="63" spans="2:17" x14ac:dyDescent="0.3">
      <c r="B63" s="20" t="s">
        <v>225</v>
      </c>
      <c r="C63" s="21"/>
    </row>
    <row r="64" spans="2:17" x14ac:dyDescent="0.3">
      <c r="B64" s="16"/>
    </row>
    <row r="65" spans="2:16" x14ac:dyDescent="0.3">
      <c r="B65" s="183" t="s">
        <v>211</v>
      </c>
      <c r="C65" s="21"/>
      <c r="D65" s="21"/>
      <c r="E65" s="168"/>
      <c r="F65" s="21"/>
      <c r="G65" s="21"/>
      <c r="H65" s="165"/>
      <c r="J65" s="183" t="s">
        <v>213</v>
      </c>
      <c r="K65" s="21"/>
      <c r="L65" s="21"/>
      <c r="M65" s="168"/>
      <c r="N65" s="21"/>
      <c r="O65" s="21"/>
      <c r="P65" s="165"/>
    </row>
    <row r="66" spans="2:16" x14ac:dyDescent="0.3">
      <c r="B66" s="16"/>
      <c r="J66" s="16"/>
      <c r="K66"/>
      <c r="L66"/>
      <c r="M66"/>
      <c r="N66"/>
      <c r="O66"/>
    </row>
    <row r="67" spans="2:16" x14ac:dyDescent="0.3">
      <c r="F67" s="62" t="s">
        <v>226</v>
      </c>
      <c r="J67"/>
      <c r="K67"/>
      <c r="L67"/>
      <c r="M67"/>
      <c r="N67" s="62" t="s">
        <v>226</v>
      </c>
      <c r="O67"/>
    </row>
    <row r="68" spans="2:16" x14ac:dyDescent="0.3">
      <c r="D68" s="113">
        <v>2.5000000000000001E-2</v>
      </c>
      <c r="E68" s="113">
        <v>2.75E-2</v>
      </c>
      <c r="F68" s="179">
        <v>0.03</v>
      </c>
      <c r="G68" s="151">
        <v>3.2500000000000001E-2</v>
      </c>
      <c r="H68" s="151">
        <v>3.5000000000000003E-2</v>
      </c>
      <c r="J68"/>
      <c r="K68"/>
      <c r="L68" s="113">
        <v>2.5000000000000001E-2</v>
      </c>
      <c r="M68" s="113">
        <v>2.75E-2</v>
      </c>
      <c r="N68" s="179">
        <v>0.03</v>
      </c>
      <c r="O68" s="151">
        <v>3.2500000000000001E-2</v>
      </c>
      <c r="P68" s="151">
        <v>3.5000000000000003E-2</v>
      </c>
    </row>
    <row r="69" spans="2:16" ht="14.4" customHeight="1" x14ac:dyDescent="0.3">
      <c r="B69" s="221" t="s">
        <v>205</v>
      </c>
      <c r="C69" s="150">
        <v>0.11576490803384451</v>
      </c>
      <c r="D69" s="87">
        <f>'DCF Valuation'!F295</f>
        <v>311946.46463343443</v>
      </c>
      <c r="E69" s="76">
        <f>'DCF Valuation'!G295</f>
        <v>317438.88682032778</v>
      </c>
      <c r="F69" s="76">
        <f>'DCF Valuation'!H295</f>
        <v>323254.16993481957</v>
      </c>
      <c r="G69" s="76">
        <f>'DCF Valuation'!I295</f>
        <v>329421.37544644019</v>
      </c>
      <c r="H69" s="77">
        <f>'DCF Valuation'!J295</f>
        <v>335973.16330215207</v>
      </c>
      <c r="J69" s="221" t="s">
        <v>205</v>
      </c>
      <c r="K69" s="150">
        <v>0.11576490803384451</v>
      </c>
      <c r="L69" s="87">
        <f t="shared" ref="L69:P73" si="4">D69-$O$59</f>
        <v>289570.46463343443</v>
      </c>
      <c r="M69" s="76">
        <f t="shared" si="4"/>
        <v>295062.88682032778</v>
      </c>
      <c r="N69" s="76">
        <f t="shared" si="4"/>
        <v>300878.16993481957</v>
      </c>
      <c r="O69" s="76">
        <f t="shared" si="4"/>
        <v>307045.37544644019</v>
      </c>
      <c r="P69" s="77">
        <f t="shared" si="4"/>
        <v>313597.16330215207</v>
      </c>
    </row>
    <row r="70" spans="2:16" x14ac:dyDescent="0.3">
      <c r="B70" s="221"/>
      <c r="C70" s="150">
        <v>0.11676490803384451</v>
      </c>
      <c r="D70" s="50">
        <f>'DCF Valuation'!F296</f>
        <v>308421.75418767222</v>
      </c>
      <c r="E70" s="41">
        <f>'DCF Valuation'!G296</f>
        <v>313763.74807449046</v>
      </c>
      <c r="F70" s="41">
        <f>'DCF Valuation'!H296</f>
        <v>319416.20131376036</v>
      </c>
      <c r="G70" s="41">
        <f>'DCF Valuation'!I296</f>
        <v>325406.7267781609</v>
      </c>
      <c r="H70" s="51">
        <f>'DCF Valuation'!J296</f>
        <v>331766.31464079791</v>
      </c>
      <c r="J70" s="221"/>
      <c r="K70" s="150">
        <v>0.11676490803384451</v>
      </c>
      <c r="L70" s="50">
        <f t="shared" si="4"/>
        <v>286045.75418767222</v>
      </c>
      <c r="M70" s="41">
        <f t="shared" si="4"/>
        <v>291387.74807449046</v>
      </c>
      <c r="N70" s="41">
        <f t="shared" si="4"/>
        <v>297040.20131376036</v>
      </c>
      <c r="O70" s="41">
        <f t="shared" si="4"/>
        <v>303030.7267781609</v>
      </c>
      <c r="P70" s="51">
        <f t="shared" si="4"/>
        <v>309390.31464079791</v>
      </c>
    </row>
    <row r="71" spans="2:16" x14ac:dyDescent="0.3">
      <c r="B71" s="221"/>
      <c r="C71" s="180">
        <v>0.11776490803384451</v>
      </c>
      <c r="D71" s="50">
        <f>'DCF Valuation'!F297</f>
        <v>304973.38453543378</v>
      </c>
      <c r="E71" s="41">
        <f>'DCF Valuation'!G297</f>
        <v>310170.35429222381</v>
      </c>
      <c r="F71" s="181">
        <f>'DCF Valuation'!H297</f>
        <v>315665.97237511893</v>
      </c>
      <c r="G71" s="41">
        <f>'DCF Valuation'!I297</f>
        <v>321486.48898357194</v>
      </c>
      <c r="H71" s="51">
        <f>'DCF Valuation'!J297</f>
        <v>327661.32616681687</v>
      </c>
      <c r="J71" s="221"/>
      <c r="K71" s="180">
        <v>0.11776490803384451</v>
      </c>
      <c r="L71" s="50">
        <f t="shared" si="4"/>
        <v>282597.38453543378</v>
      </c>
      <c r="M71" s="41">
        <f t="shared" si="4"/>
        <v>287794.35429222381</v>
      </c>
      <c r="N71" s="181">
        <f t="shared" si="4"/>
        <v>293289.97237511893</v>
      </c>
      <c r="O71" s="41">
        <f t="shared" si="4"/>
        <v>299110.48898357194</v>
      </c>
      <c r="P71" s="51">
        <f t="shared" si="4"/>
        <v>305285.32616681687</v>
      </c>
    </row>
    <row r="72" spans="2:16" x14ac:dyDescent="0.3">
      <c r="B72" s="221"/>
      <c r="C72" s="150">
        <v>0.11876490803384451</v>
      </c>
      <c r="D72" s="50">
        <f>'DCF Valuation'!F298</f>
        <v>301598.9119564502</v>
      </c>
      <c r="E72" s="41">
        <f>'DCF Valuation'!G298</f>
        <v>306656.01741045818</v>
      </c>
      <c r="F72" s="41">
        <f>'DCF Valuation'!H298</f>
        <v>312000.51699030027</v>
      </c>
      <c r="G72" s="41">
        <f>'DCF Valuation'!I298</f>
        <v>317657.37822579674</v>
      </c>
      <c r="H72" s="51">
        <f>'DCF Valuation'!J298</f>
        <v>323654.54950228578</v>
      </c>
      <c r="J72" s="221"/>
      <c r="K72" s="150">
        <v>0.11876490803384451</v>
      </c>
      <c r="L72" s="50">
        <f t="shared" si="4"/>
        <v>279222.9119564502</v>
      </c>
      <c r="M72" s="41">
        <f t="shared" si="4"/>
        <v>284280.01741045818</v>
      </c>
      <c r="N72" s="41">
        <f t="shared" si="4"/>
        <v>289624.51699030027</v>
      </c>
      <c r="O72" s="41">
        <f t="shared" si="4"/>
        <v>295281.37822579674</v>
      </c>
      <c r="P72" s="51">
        <f t="shared" si="4"/>
        <v>301278.54950228578</v>
      </c>
    </row>
    <row r="73" spans="2:16" x14ac:dyDescent="0.3">
      <c r="B73" s="221"/>
      <c r="C73" s="150">
        <v>0.11976490803384451</v>
      </c>
      <c r="D73" s="52">
        <f>'DCF Valuation'!F299</f>
        <v>298295.99588371965</v>
      </c>
      <c r="E73" s="53">
        <f>'DCF Valuation'!G299</f>
        <v>303218.1659059418</v>
      </c>
      <c r="F73" s="53">
        <f>'DCF Valuation'!H299</f>
        <v>308417.00120543968</v>
      </c>
      <c r="G73" s="53">
        <f>'DCF Valuation'!I299</f>
        <v>313916.26119055622</v>
      </c>
      <c r="H73" s="54">
        <f>'DCF Valuation'!J299</f>
        <v>319742.50843203603</v>
      </c>
      <c r="J73" s="221"/>
      <c r="K73" s="150">
        <v>0.11976490803384451</v>
      </c>
      <c r="L73" s="52">
        <f t="shared" si="4"/>
        <v>275919.99588371965</v>
      </c>
      <c r="M73" s="53">
        <f t="shared" si="4"/>
        <v>280842.1659059418</v>
      </c>
      <c r="N73" s="53">
        <f t="shared" si="4"/>
        <v>286041.00120543968</v>
      </c>
      <c r="O73" s="53">
        <f t="shared" si="4"/>
        <v>291540.26119055622</v>
      </c>
      <c r="P73" s="54">
        <f t="shared" si="4"/>
        <v>297366.50843203603</v>
      </c>
    </row>
    <row r="77" spans="2:16" x14ac:dyDescent="0.3">
      <c r="B77" s="183" t="s">
        <v>228</v>
      </c>
      <c r="C77" s="21"/>
      <c r="D77" s="21"/>
      <c r="E77" s="168"/>
      <c r="F77" s="21"/>
      <c r="G77" s="21"/>
      <c r="H77" s="165"/>
      <c r="J77" s="183" t="s">
        <v>230</v>
      </c>
      <c r="K77" s="21"/>
      <c r="L77" s="21"/>
      <c r="M77" s="168"/>
      <c r="N77" s="21"/>
      <c r="O77" s="21"/>
      <c r="P77" s="165"/>
    </row>
    <row r="78" spans="2:16" x14ac:dyDescent="0.3">
      <c r="B78" s="16"/>
      <c r="J78" s="16"/>
      <c r="K78"/>
      <c r="L78"/>
      <c r="M78"/>
      <c r="N78"/>
      <c r="O78"/>
    </row>
    <row r="79" spans="2:16" x14ac:dyDescent="0.3">
      <c r="F79" s="62" t="s">
        <v>226</v>
      </c>
      <c r="J79"/>
      <c r="K79"/>
      <c r="L79"/>
      <c r="M79"/>
      <c r="N79" s="62" t="s">
        <v>226</v>
      </c>
      <c r="O79"/>
    </row>
    <row r="80" spans="2:16" x14ac:dyDescent="0.3">
      <c r="D80" s="113">
        <v>2.5000000000000001E-2</v>
      </c>
      <c r="E80" s="113">
        <v>2.75E-2</v>
      </c>
      <c r="F80" s="179">
        <v>0.03</v>
      </c>
      <c r="G80" s="151">
        <v>3.2500000000000001E-2</v>
      </c>
      <c r="H80" s="151">
        <v>3.5000000000000003E-2</v>
      </c>
      <c r="J80"/>
      <c r="K80"/>
      <c r="L80" s="113">
        <v>2.5000000000000001E-2</v>
      </c>
      <c r="M80" s="113">
        <v>2.75E-2</v>
      </c>
      <c r="N80" s="179">
        <v>0.03</v>
      </c>
      <c r="O80" s="151">
        <v>3.2500000000000001E-2</v>
      </c>
      <c r="P80" s="151">
        <v>3.5000000000000003E-2</v>
      </c>
    </row>
    <row r="81" spans="2:16" x14ac:dyDescent="0.3">
      <c r="B81" s="221" t="s">
        <v>205</v>
      </c>
      <c r="C81" s="150">
        <v>0.11576490803384451</v>
      </c>
      <c r="D81" s="87">
        <f t="shared" ref="D81:H85" si="5">L69/$O$56</f>
        <v>2013.9176924380354</v>
      </c>
      <c r="E81" s="76">
        <f t="shared" si="5"/>
        <v>2052.1166373149799</v>
      </c>
      <c r="F81" s="76">
        <f t="shared" si="5"/>
        <v>2092.5610298936108</v>
      </c>
      <c r="G81" s="76">
        <f t="shared" si="5"/>
        <v>2135.4529881894155</v>
      </c>
      <c r="H81" s="77">
        <f t="shared" si="5"/>
        <v>2181.0196570705875</v>
      </c>
      <c r="J81" s="221" t="s">
        <v>205</v>
      </c>
      <c r="K81" s="150">
        <v>0.11576490803384451</v>
      </c>
      <c r="L81" s="171">
        <f t="shared" ref="L81:P85" si="6">D81/($O$60-1)</f>
        <v>0.24943246128784188</v>
      </c>
      <c r="M81" s="172">
        <f t="shared" si="6"/>
        <v>0.2541635666726505</v>
      </c>
      <c r="N81" s="172">
        <f t="shared" si="6"/>
        <v>0.25917278051691983</v>
      </c>
      <c r="O81" s="172">
        <f t="shared" si="6"/>
        <v>0.26448513601553325</v>
      </c>
      <c r="P81" s="173">
        <f t="shared" si="6"/>
        <v>0.27012876604788055</v>
      </c>
    </row>
    <row r="82" spans="2:16" x14ac:dyDescent="0.3">
      <c r="B82" s="221"/>
      <c r="C82" s="150">
        <v>0.11676490803384451</v>
      </c>
      <c r="D82" s="50">
        <f t="shared" si="5"/>
        <v>1989.4038776868397</v>
      </c>
      <c r="E82" s="41">
        <f t="shared" si="5"/>
        <v>2026.5566170560912</v>
      </c>
      <c r="F82" s="41">
        <f t="shared" si="5"/>
        <v>2065.8685530943703</v>
      </c>
      <c r="G82" s="41">
        <f t="shared" si="5"/>
        <v>2107.5317290506237</v>
      </c>
      <c r="H82" s="51">
        <f t="shared" si="5"/>
        <v>2151.7616767747195</v>
      </c>
      <c r="J82" s="221"/>
      <c r="K82" s="150">
        <v>0.11676490803384451</v>
      </c>
      <c r="L82" s="174">
        <f t="shared" si="6"/>
        <v>0.24639631876230364</v>
      </c>
      <c r="M82" s="151">
        <f t="shared" si="6"/>
        <v>0.25099784704682826</v>
      </c>
      <c r="N82" s="151">
        <f t="shared" si="6"/>
        <v>0.25586680122546079</v>
      </c>
      <c r="O82" s="151">
        <f t="shared" si="6"/>
        <v>0.26102696668945052</v>
      </c>
      <c r="P82" s="175">
        <f t="shared" si="6"/>
        <v>0.26650503799538267</v>
      </c>
    </row>
    <row r="83" spans="2:16" x14ac:dyDescent="0.3">
      <c r="B83" s="221"/>
      <c r="C83" s="180">
        <v>0.11776490803384451</v>
      </c>
      <c r="D83" s="50">
        <f t="shared" si="5"/>
        <v>1965.4210013202853</v>
      </c>
      <c r="E83" s="41">
        <f t="shared" si="5"/>
        <v>2001.5651203467683</v>
      </c>
      <c r="F83" s="181">
        <f t="shared" si="5"/>
        <v>2039.7862921849785</v>
      </c>
      <c r="G83" s="41">
        <f t="shared" si="5"/>
        <v>2080.2670829028157</v>
      </c>
      <c r="H83" s="51">
        <f t="shared" si="5"/>
        <v>2123.2121182917094</v>
      </c>
      <c r="J83" s="221"/>
      <c r="K83" s="180">
        <v>0.11776490803384451</v>
      </c>
      <c r="L83" s="174">
        <f t="shared" si="6"/>
        <v>0.24342593526384509</v>
      </c>
      <c r="M83" s="151">
        <f t="shared" si="6"/>
        <v>0.24790254153415509</v>
      </c>
      <c r="N83" s="182">
        <f t="shared" si="6"/>
        <v>0.25263639982474345</v>
      </c>
      <c r="O83" s="151">
        <f t="shared" si="6"/>
        <v>0.2576501217367867</v>
      </c>
      <c r="P83" s="175">
        <f t="shared" si="6"/>
        <v>0.26296905106412055</v>
      </c>
    </row>
    <row r="84" spans="2:16" x14ac:dyDescent="0.3">
      <c r="B84" s="221"/>
      <c r="C84" s="150">
        <v>0.11876490803384451</v>
      </c>
      <c r="D84" s="50">
        <f t="shared" si="5"/>
        <v>1941.9520676427262</v>
      </c>
      <c r="E84" s="41">
        <f t="shared" si="5"/>
        <v>1977.1234521250633</v>
      </c>
      <c r="F84" s="41">
        <f t="shared" si="5"/>
        <v>2014.2936182008643</v>
      </c>
      <c r="G84" s="41">
        <f t="shared" si="5"/>
        <v>2053.6362111695735</v>
      </c>
      <c r="H84" s="51">
        <f t="shared" si="5"/>
        <v>2095.3456077186715</v>
      </c>
      <c r="J84" s="221"/>
      <c r="K84" s="150">
        <v>0.11876490803384451</v>
      </c>
      <c r="L84" s="174">
        <f t="shared" si="6"/>
        <v>0.24051920580167527</v>
      </c>
      <c r="M84" s="151">
        <f t="shared" si="6"/>
        <v>0.244875334669936</v>
      </c>
      <c r="N84" s="151">
        <f t="shared" si="6"/>
        <v>0.24947902132782565</v>
      </c>
      <c r="O84" s="151">
        <f t="shared" si="6"/>
        <v>0.25435177250056645</v>
      </c>
      <c r="P84" s="175">
        <f t="shared" si="6"/>
        <v>0.25951766258591424</v>
      </c>
    </row>
    <row r="85" spans="2:16" x14ac:dyDescent="0.3">
      <c r="B85" s="221"/>
      <c r="C85" s="150">
        <v>0.11976490803384451</v>
      </c>
      <c r="D85" s="52">
        <f t="shared" si="5"/>
        <v>1918.9807983734984</v>
      </c>
      <c r="E85" s="53">
        <f t="shared" si="5"/>
        <v>1953.2137278453972</v>
      </c>
      <c r="F85" s="53">
        <f t="shared" si="5"/>
        <v>1989.3708214322176</v>
      </c>
      <c r="G85" s="53">
        <f t="shared" si="5"/>
        <v>2027.6173221358117</v>
      </c>
      <c r="H85" s="54">
        <f t="shared" si="5"/>
        <v>2068.13796851799</v>
      </c>
      <c r="J85" s="221"/>
      <c r="K85" s="150">
        <v>0.11976490803384451</v>
      </c>
      <c r="L85" s="176">
        <f t="shared" si="6"/>
        <v>0.23767411423996759</v>
      </c>
      <c r="M85" s="177">
        <f t="shared" si="6"/>
        <v>0.24191401137545174</v>
      </c>
      <c r="N85" s="177">
        <f t="shared" si="6"/>
        <v>0.24639222460146365</v>
      </c>
      <c r="O85" s="177">
        <f t="shared" si="6"/>
        <v>0.25112921998214166</v>
      </c>
      <c r="P85" s="178">
        <f t="shared" si="6"/>
        <v>0.25614787819147755</v>
      </c>
    </row>
    <row r="88" spans="2:16" x14ac:dyDescent="0.3">
      <c r="B88" s="20" t="s">
        <v>246</v>
      </c>
      <c r="C88" s="21"/>
    </row>
    <row r="90" spans="2:16" x14ac:dyDescent="0.3">
      <c r="E90" s="62" t="s">
        <v>249</v>
      </c>
      <c r="F90" s="62" t="s">
        <v>250</v>
      </c>
      <c r="G90" s="62" t="s">
        <v>251</v>
      </c>
      <c r="H90" s="217" t="s">
        <v>252</v>
      </c>
    </row>
    <row r="91" spans="2:16" x14ac:dyDescent="0.3">
      <c r="B91" s="59" t="s">
        <v>247</v>
      </c>
      <c r="E91" s="218">
        <f>'Comps Table'!G33</f>
        <v>315962.17868783482</v>
      </c>
      <c r="F91" s="218">
        <f>G91-E91</f>
        <v>967516.74795534578</v>
      </c>
      <c r="G91" s="218">
        <f>'Comps Table'!G32</f>
        <v>1283478.9266431807</v>
      </c>
      <c r="H91" s="218">
        <f>'Comps Table'!G31</f>
        <v>864393.95924329245</v>
      </c>
    </row>
    <row r="92" spans="2:16" x14ac:dyDescent="0.3">
      <c r="B92" s="59" t="s">
        <v>248</v>
      </c>
      <c r="E92" s="216">
        <f>D73</f>
        <v>298295.99588371965</v>
      </c>
      <c r="F92" s="216">
        <f>G92-E92</f>
        <v>37677.167418432422</v>
      </c>
      <c r="G92" s="216">
        <f>H69</f>
        <v>335973.16330215207</v>
      </c>
      <c r="H92" s="216">
        <f>F71</f>
        <v>315665.97237511893</v>
      </c>
    </row>
  </sheetData>
  <mergeCells count="4">
    <mergeCell ref="B69:B73"/>
    <mergeCell ref="J69:J73"/>
    <mergeCell ref="B81:B85"/>
    <mergeCell ref="J81:J85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Drop Down 1">
              <controlPr defaultSize="0" autoLine="0" autoPict="0">
                <anchor moveWithCells="1">
                  <from>
                    <xdr:col>2</xdr:col>
                    <xdr:colOff>297180</xdr:colOff>
                    <xdr:row>10</xdr:row>
                    <xdr:rowOff>167640</xdr:rowOff>
                  </from>
                  <to>
                    <xdr:col>4</xdr:col>
                    <xdr:colOff>38100</xdr:colOff>
                    <xdr:row>12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3E9A4-E9C7-4D81-A202-A1882C832765}">
  <dimension ref="B8:R103"/>
  <sheetViews>
    <sheetView showGridLines="0" topLeftCell="A34" zoomScaleNormal="100" workbookViewId="0">
      <selection activeCell="H35" sqref="H35"/>
    </sheetView>
  </sheetViews>
  <sheetFormatPr defaultRowHeight="14.4" x14ac:dyDescent="0.3"/>
  <cols>
    <col min="3" max="3" width="13.19921875" customWidth="1"/>
    <col min="4" max="4" width="8.69921875" customWidth="1"/>
    <col min="5" max="5" width="9.19921875" customWidth="1"/>
    <col min="12" max="12" width="9.09765625" customWidth="1"/>
    <col min="17" max="17" width="11.8984375" bestFit="1" customWidth="1"/>
    <col min="18" max="18" width="13.5" bestFit="1" customWidth="1"/>
  </cols>
  <sheetData>
    <row r="8" spans="2:18" ht="18" x14ac:dyDescent="0.35">
      <c r="B8" s="15" t="s">
        <v>75</v>
      </c>
      <c r="C8" s="25"/>
      <c r="D8" s="25"/>
      <c r="E8" s="25"/>
      <c r="F8" s="26">
        <v>2</v>
      </c>
      <c r="G8" s="26"/>
      <c r="H8" s="26"/>
      <c r="I8" s="26"/>
      <c r="J8" s="26"/>
      <c r="K8" s="26"/>
      <c r="L8" s="26"/>
      <c r="M8" s="26"/>
      <c r="N8" s="26"/>
      <c r="O8" s="26"/>
      <c r="P8" s="26"/>
    </row>
    <row r="10" spans="2:18" x14ac:dyDescent="0.3">
      <c r="B10" s="17" t="s">
        <v>217</v>
      </c>
      <c r="H10" s="19">
        <v>2026</v>
      </c>
      <c r="I10" s="19">
        <f>H10+1</f>
        <v>2027</v>
      </c>
      <c r="J10" s="19">
        <f t="shared" ref="J10:L10" si="0">I10+1</f>
        <v>2028</v>
      </c>
      <c r="K10" s="19">
        <f t="shared" si="0"/>
        <v>2029</v>
      </c>
      <c r="L10" s="19">
        <f t="shared" si="0"/>
        <v>2030</v>
      </c>
      <c r="M10" s="105"/>
    </row>
    <row r="11" spans="2:18" x14ac:dyDescent="0.3">
      <c r="B11" s="17" t="str">
        <f>_xlfn.CONCAT("Model Currently Running:", " ", INDEX(Inputs!$B$15:$B$17, Inputs!$F$8), " ", "Scenario")</f>
        <v>Model Currently Running: Base Case Scenario</v>
      </c>
    </row>
    <row r="13" spans="2:18" ht="15.6" x14ac:dyDescent="0.35">
      <c r="B13" s="16" t="s">
        <v>76</v>
      </c>
      <c r="H13" s="91" cm="1">
        <f t="array" ref="H13">INDEX(H15:H17, $F$8)</f>
        <v>0.15</v>
      </c>
      <c r="I13" s="92" cm="1">
        <f t="array" ref="I13">INDEX(I15:I17, $F$8)</f>
        <v>0.14499999999999999</v>
      </c>
      <c r="J13" s="92" cm="1">
        <f t="array" ref="J13">INDEX(J15:J17, $F$8)</f>
        <v>0.13999999999999999</v>
      </c>
      <c r="K13" s="92" cm="1">
        <f t="array" ref="K13">INDEX(K15:K17, $F$8)</f>
        <v>0.13749999999999998</v>
      </c>
      <c r="L13" s="93" cm="1">
        <f t="array" ref="L13">INDEX(L15:L17, $F$8)</f>
        <v>0.13499999999999998</v>
      </c>
      <c r="M13" s="106"/>
      <c r="N13" s="159"/>
      <c r="O13" s="160" t="s">
        <v>223</v>
      </c>
    </row>
    <row r="14" spans="2:18" ht="15.6" x14ac:dyDescent="0.35">
      <c r="N14" s="159"/>
      <c r="O14" s="160" t="s">
        <v>224</v>
      </c>
    </row>
    <row r="15" spans="2:18" ht="15" x14ac:dyDescent="0.35">
      <c r="B15" s="22" t="s">
        <v>77</v>
      </c>
      <c r="H15" s="29">
        <f>H16 + 0.01</f>
        <v>0.16</v>
      </c>
      <c r="I15" s="30">
        <f t="shared" ref="I15:L15" si="1">I16 + 0.01</f>
        <v>0.155</v>
      </c>
      <c r="J15" s="30">
        <f t="shared" si="1"/>
        <v>0.15</v>
      </c>
      <c r="K15" s="30">
        <f t="shared" si="1"/>
        <v>0.14749999999999999</v>
      </c>
      <c r="L15" s="31">
        <f t="shared" si="1"/>
        <v>0.14499999999999999</v>
      </c>
      <c r="M15" s="33"/>
      <c r="N15" s="161"/>
      <c r="O15" s="157">
        <f>'DCF Valuation'!F285</f>
        <v>315962.17868783482</v>
      </c>
      <c r="R15" s="133"/>
    </row>
    <row r="16" spans="2:18" ht="15" x14ac:dyDescent="0.35">
      <c r="B16" s="22" t="s">
        <v>78</v>
      </c>
      <c r="H16" s="32">
        <v>0.15</v>
      </c>
      <c r="I16" s="33">
        <f>H16-0.005</f>
        <v>0.14499999999999999</v>
      </c>
      <c r="J16" s="33">
        <f t="shared" ref="J16" si="2">I16-0.005</f>
        <v>0.13999999999999999</v>
      </c>
      <c r="K16" s="33">
        <f>J16-0.0025</f>
        <v>0.13749999999999998</v>
      </c>
      <c r="L16" s="34">
        <f t="shared" ref="L16" si="3">K16-0.0025</f>
        <v>0.13499999999999998</v>
      </c>
      <c r="M16" s="33"/>
      <c r="N16" s="158">
        <v>1</v>
      </c>
      <c r="O16" s="157">
        <f t="dataTable" ref="O16:O18" dt2D="0" dtr="0" r1="F8"/>
        <v>365397.34036045137</v>
      </c>
      <c r="R16" s="133"/>
    </row>
    <row r="17" spans="2:15" ht="15" x14ac:dyDescent="0.35">
      <c r="B17" s="22" t="s">
        <v>79</v>
      </c>
      <c r="H17" s="35">
        <f>H16-0.01</f>
        <v>0.13999999999999999</v>
      </c>
      <c r="I17" s="36">
        <f t="shared" ref="I17:L17" si="4">I16-0.01</f>
        <v>0.13499999999999998</v>
      </c>
      <c r="J17" s="36">
        <f t="shared" si="4"/>
        <v>0.12999999999999998</v>
      </c>
      <c r="K17" s="36">
        <f t="shared" si="4"/>
        <v>0.12749999999999997</v>
      </c>
      <c r="L17" s="37">
        <f t="shared" si="4"/>
        <v>0.12499999999999999</v>
      </c>
      <c r="M17" s="33"/>
      <c r="N17" s="158">
        <v>2</v>
      </c>
      <c r="O17" s="157">
        <v>315962.17868783482</v>
      </c>
    </row>
    <row r="18" spans="2:15" ht="15" x14ac:dyDescent="0.35">
      <c r="N18" s="158">
        <v>3</v>
      </c>
      <c r="O18" s="157">
        <v>269645.49696538894</v>
      </c>
    </row>
    <row r="19" spans="2:15" x14ac:dyDescent="0.3">
      <c r="N19" s="162"/>
      <c r="O19" s="162"/>
    </row>
    <row r="20" spans="2:15" x14ac:dyDescent="0.3">
      <c r="B20" s="16" t="s">
        <v>5</v>
      </c>
      <c r="F20" s="38" t="s">
        <v>84</v>
      </c>
      <c r="H20" s="91" cm="1">
        <f t="array" ref="H20">INDEX(H22:H24, $F$8)</f>
        <v>0.25</v>
      </c>
      <c r="I20" s="92" cm="1">
        <f t="array" ref="I20">INDEX(I22:I24, $F$8)</f>
        <v>0.2525</v>
      </c>
      <c r="J20" s="92" cm="1">
        <f t="array" ref="J20">INDEX(J22:J24, $F$8)</f>
        <v>0.255</v>
      </c>
      <c r="K20" s="92" cm="1">
        <f t="array" ref="K20">INDEX(K22:K24, $F$8)</f>
        <v>0.25750000000000001</v>
      </c>
      <c r="L20" s="93" cm="1">
        <f t="array" ref="L20">INDEX(L22:L24, $F$8)</f>
        <v>0.26</v>
      </c>
      <c r="M20" s="106"/>
    </row>
    <row r="22" spans="2:15" x14ac:dyDescent="0.3">
      <c r="B22" s="22" t="s">
        <v>77</v>
      </c>
      <c r="H22" s="29">
        <f>H23-0.01</f>
        <v>0.24</v>
      </c>
      <c r="I22" s="30">
        <f t="shared" ref="I22:L22" si="5">I23-0.01</f>
        <v>0.24249999999999999</v>
      </c>
      <c r="J22" s="30">
        <f t="shared" si="5"/>
        <v>0.245</v>
      </c>
      <c r="K22" s="30">
        <f t="shared" si="5"/>
        <v>0.2475</v>
      </c>
      <c r="L22" s="31">
        <f t="shared" si="5"/>
        <v>0.25</v>
      </c>
      <c r="M22" s="33"/>
    </row>
    <row r="23" spans="2:15" x14ac:dyDescent="0.3">
      <c r="B23" s="22" t="s">
        <v>78</v>
      </c>
      <c r="H23" s="32">
        <v>0.25</v>
      </c>
      <c r="I23" s="33">
        <f>H23 +0.0025</f>
        <v>0.2525</v>
      </c>
      <c r="J23" s="33">
        <f t="shared" ref="J23:L23" si="6">I23 +0.0025</f>
        <v>0.255</v>
      </c>
      <c r="K23" s="33">
        <f t="shared" si="6"/>
        <v>0.25750000000000001</v>
      </c>
      <c r="L23" s="34">
        <f t="shared" si="6"/>
        <v>0.26</v>
      </c>
      <c r="M23" s="33"/>
    </row>
    <row r="24" spans="2:15" x14ac:dyDescent="0.3">
      <c r="B24" s="22" t="s">
        <v>79</v>
      </c>
      <c r="H24" s="35">
        <f>H23+0.01</f>
        <v>0.26</v>
      </c>
      <c r="I24" s="36">
        <f t="shared" ref="I24:L24" si="7">I23+0.01</f>
        <v>0.26250000000000001</v>
      </c>
      <c r="J24" s="36">
        <f t="shared" si="7"/>
        <v>0.26500000000000001</v>
      </c>
      <c r="K24" s="36">
        <f t="shared" si="7"/>
        <v>0.26750000000000002</v>
      </c>
      <c r="L24" s="37">
        <f t="shared" si="7"/>
        <v>0.27</v>
      </c>
      <c r="M24" s="33"/>
    </row>
    <row r="27" spans="2:15" x14ac:dyDescent="0.3">
      <c r="B27" s="16" t="s">
        <v>80</v>
      </c>
      <c r="F27" s="38" t="s">
        <v>84</v>
      </c>
      <c r="H27" s="91" cm="1">
        <f t="array" ref="H27">INDEX(H29:H31, $F$8)</f>
        <v>0.4</v>
      </c>
      <c r="I27" s="92" cm="1">
        <f t="array" ref="I27">INDEX(I29:I31, $F$8)</f>
        <v>0.40250000000000002</v>
      </c>
      <c r="J27" s="92" cm="1">
        <f t="array" ref="J27">INDEX(J29:J31, $F$8)</f>
        <v>0.40500000000000003</v>
      </c>
      <c r="K27" s="92" cm="1">
        <f t="array" ref="K27">INDEX(K29:K31, $F$8)</f>
        <v>0.40750000000000003</v>
      </c>
      <c r="L27" s="93" cm="1">
        <f t="array" ref="L27">INDEX(L29:L31, $F$8)</f>
        <v>0.41000000000000003</v>
      </c>
      <c r="M27" s="106"/>
    </row>
    <row r="29" spans="2:15" x14ac:dyDescent="0.3">
      <c r="B29" s="22" t="s">
        <v>77</v>
      </c>
      <c r="H29" s="29">
        <f>H30-0.01</f>
        <v>0.39</v>
      </c>
      <c r="I29" s="30">
        <f t="shared" ref="I29:L29" si="8">I30-0.01</f>
        <v>0.39250000000000002</v>
      </c>
      <c r="J29" s="30">
        <f t="shared" si="8"/>
        <v>0.39500000000000002</v>
      </c>
      <c r="K29" s="30">
        <f t="shared" si="8"/>
        <v>0.39750000000000002</v>
      </c>
      <c r="L29" s="31">
        <f t="shared" si="8"/>
        <v>0.4</v>
      </c>
      <c r="M29" s="33"/>
    </row>
    <row r="30" spans="2:15" x14ac:dyDescent="0.3">
      <c r="B30" s="22" t="s">
        <v>78</v>
      </c>
      <c r="H30" s="32">
        <v>0.4</v>
      </c>
      <c r="I30" s="33">
        <f>H30+0.0025</f>
        <v>0.40250000000000002</v>
      </c>
      <c r="J30" s="33">
        <f t="shared" ref="J30:L30" si="9">I30+0.0025</f>
        <v>0.40500000000000003</v>
      </c>
      <c r="K30" s="33">
        <f t="shared" si="9"/>
        <v>0.40750000000000003</v>
      </c>
      <c r="L30" s="34">
        <f t="shared" si="9"/>
        <v>0.41000000000000003</v>
      </c>
      <c r="M30" s="33"/>
    </row>
    <row r="31" spans="2:15" x14ac:dyDescent="0.3">
      <c r="B31" s="22" t="s">
        <v>79</v>
      </c>
      <c r="H31" s="35">
        <f>H30+0.01</f>
        <v>0.41000000000000003</v>
      </c>
      <c r="I31" s="36">
        <f t="shared" ref="I31:L31" si="10">I30+0.01</f>
        <v>0.41250000000000003</v>
      </c>
      <c r="J31" s="36">
        <f t="shared" si="10"/>
        <v>0.41500000000000004</v>
      </c>
      <c r="K31" s="36">
        <f t="shared" si="10"/>
        <v>0.41750000000000004</v>
      </c>
      <c r="L31" s="37">
        <f t="shared" si="10"/>
        <v>0.42000000000000004</v>
      </c>
      <c r="M31" s="33"/>
    </row>
    <row r="34" spans="2:15" x14ac:dyDescent="0.3">
      <c r="B34" s="16" t="s">
        <v>60</v>
      </c>
      <c r="F34" s="38" t="s">
        <v>84</v>
      </c>
      <c r="H34" s="91" cm="1">
        <f t="array" ref="H34">INDEX(H36:H38, $F$8)</f>
        <v>0.08</v>
      </c>
      <c r="I34" s="92" cm="1">
        <f t="array" ref="I34">INDEX(I36:I38, $F$8)</f>
        <v>0.08</v>
      </c>
      <c r="J34" s="92" cm="1">
        <f t="array" ref="J34">INDEX(J36:J38, $F$8)</f>
        <v>0.08</v>
      </c>
      <c r="K34" s="92" cm="1">
        <f t="array" ref="K34">INDEX(K36:K38, $F$8)</f>
        <v>0.08</v>
      </c>
      <c r="L34" s="93" cm="1">
        <f t="array" ref="L34">INDEX(L36:L38, $F$8)</f>
        <v>0.08</v>
      </c>
      <c r="M34" s="106"/>
    </row>
    <row r="36" spans="2:15" x14ac:dyDescent="0.3">
      <c r="B36" s="22" t="s">
        <v>77</v>
      </c>
      <c r="H36" s="29">
        <f>H37-0.01</f>
        <v>7.0000000000000007E-2</v>
      </c>
      <c r="I36" s="30">
        <f t="shared" ref="I36:L36" si="11">I37-0.01</f>
        <v>7.0000000000000007E-2</v>
      </c>
      <c r="J36" s="30">
        <f t="shared" si="11"/>
        <v>7.0000000000000007E-2</v>
      </c>
      <c r="K36" s="30">
        <f t="shared" si="11"/>
        <v>7.0000000000000007E-2</v>
      </c>
      <c r="L36" s="31">
        <f t="shared" si="11"/>
        <v>7.0000000000000007E-2</v>
      </c>
      <c r="M36" s="33"/>
    </row>
    <row r="37" spans="2:15" x14ac:dyDescent="0.3">
      <c r="B37" s="22" t="s">
        <v>78</v>
      </c>
      <c r="H37" s="32">
        <v>0.08</v>
      </c>
      <c r="I37" s="33">
        <f>H37</f>
        <v>0.08</v>
      </c>
      <c r="J37" s="33">
        <f t="shared" ref="J37:L37" si="12">I37</f>
        <v>0.08</v>
      </c>
      <c r="K37" s="33">
        <f t="shared" si="12"/>
        <v>0.08</v>
      </c>
      <c r="L37" s="34">
        <f t="shared" si="12"/>
        <v>0.08</v>
      </c>
      <c r="M37" s="33"/>
    </row>
    <row r="38" spans="2:15" x14ac:dyDescent="0.3">
      <c r="B38" s="22" t="s">
        <v>79</v>
      </c>
      <c r="H38" s="35">
        <f>H37+0.01</f>
        <v>0.09</v>
      </c>
      <c r="I38" s="36">
        <f t="shared" ref="I38:L38" si="13">I37+0.01</f>
        <v>0.09</v>
      </c>
      <c r="J38" s="36">
        <f t="shared" si="13"/>
        <v>0.09</v>
      </c>
      <c r="K38" s="36">
        <f t="shared" si="13"/>
        <v>0.09</v>
      </c>
      <c r="L38" s="37">
        <f t="shared" si="13"/>
        <v>0.09</v>
      </c>
      <c r="M38" s="33"/>
    </row>
    <row r="41" spans="2:15" x14ac:dyDescent="0.3">
      <c r="B41" s="16" t="s">
        <v>81</v>
      </c>
    </row>
    <row r="43" spans="2:15" x14ac:dyDescent="0.3">
      <c r="B43" s="22" t="s">
        <v>82</v>
      </c>
      <c r="H43" s="47">
        <v>35</v>
      </c>
      <c r="I43" s="48">
        <v>35</v>
      </c>
      <c r="J43" s="48">
        <v>35</v>
      </c>
      <c r="K43" s="48">
        <v>35</v>
      </c>
      <c r="L43" s="49">
        <v>35</v>
      </c>
      <c r="M43" s="40"/>
    </row>
    <row r="44" spans="2:15" x14ac:dyDescent="0.3">
      <c r="B44" s="22" t="s">
        <v>24</v>
      </c>
      <c r="H44" s="94">
        <v>20</v>
      </c>
      <c r="I44" s="40">
        <f>H44</f>
        <v>20</v>
      </c>
      <c r="J44" s="40">
        <f t="shared" ref="J44:L44" si="14">I44</f>
        <v>20</v>
      </c>
      <c r="K44" s="40">
        <f t="shared" si="14"/>
        <v>20</v>
      </c>
      <c r="L44" s="95">
        <f t="shared" si="14"/>
        <v>20</v>
      </c>
      <c r="M44" s="40"/>
    </row>
    <row r="45" spans="2:15" x14ac:dyDescent="0.3">
      <c r="B45" s="22" t="s">
        <v>83</v>
      </c>
      <c r="H45" s="96">
        <f>135</f>
        <v>135</v>
      </c>
      <c r="I45" s="97">
        <f>H45</f>
        <v>135</v>
      </c>
      <c r="J45" s="97">
        <f t="shared" ref="J45:L45" si="15">I45</f>
        <v>135</v>
      </c>
      <c r="K45" s="97">
        <f t="shared" si="15"/>
        <v>135</v>
      </c>
      <c r="L45" s="98">
        <f t="shared" si="15"/>
        <v>135</v>
      </c>
      <c r="M45" s="40"/>
    </row>
    <row r="48" spans="2:15" ht="18" x14ac:dyDescent="0.35">
      <c r="B48" s="15" t="s">
        <v>115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50" spans="2:17" x14ac:dyDescent="0.3">
      <c r="B50" s="17" t="s">
        <v>217</v>
      </c>
      <c r="H50" s="19">
        <v>2026</v>
      </c>
      <c r="I50" s="19">
        <f>H50+1</f>
        <v>2027</v>
      </c>
      <c r="J50" s="19">
        <f t="shared" ref="J50" si="16">I50+1</f>
        <v>2028</v>
      </c>
      <c r="K50" s="19">
        <f t="shared" ref="K50:L50" si="17">J50+1</f>
        <v>2029</v>
      </c>
      <c r="L50" s="19">
        <f t="shared" si="17"/>
        <v>2030</v>
      </c>
      <c r="M50" s="105"/>
    </row>
    <row r="52" spans="2:17" x14ac:dyDescent="0.3">
      <c r="B52" s="16" t="s">
        <v>116</v>
      </c>
    </row>
    <row r="54" spans="2:17" x14ac:dyDescent="0.3">
      <c r="B54" t="s">
        <v>117</v>
      </c>
      <c r="H54" s="29">
        <v>3.4000000000000002E-2</v>
      </c>
      <c r="I54" s="30">
        <f>H54</f>
        <v>3.4000000000000002E-2</v>
      </c>
      <c r="J54" s="30">
        <f>I54-0.001</f>
        <v>3.3000000000000002E-2</v>
      </c>
      <c r="K54" s="30">
        <f t="shared" ref="K54:L54" si="18">J54-0.001</f>
        <v>3.2000000000000001E-2</v>
      </c>
      <c r="L54" s="31">
        <f t="shared" si="18"/>
        <v>3.1E-2</v>
      </c>
      <c r="M54" s="33"/>
    </row>
    <row r="55" spans="2:17" x14ac:dyDescent="0.3">
      <c r="B55" t="s">
        <v>118</v>
      </c>
      <c r="E55" s="38" t="s">
        <v>120</v>
      </c>
      <c r="H55" s="94">
        <v>-1000</v>
      </c>
      <c r="I55" s="40">
        <v>-1000</v>
      </c>
      <c r="J55" s="40">
        <v>-1000</v>
      </c>
      <c r="K55" s="40">
        <v>-1000</v>
      </c>
      <c r="L55" s="95">
        <v>-1000</v>
      </c>
      <c r="M55" s="40"/>
    </row>
    <row r="56" spans="2:17" x14ac:dyDescent="0.3">
      <c r="B56" t="s">
        <v>119</v>
      </c>
      <c r="E56" s="38" t="s">
        <v>120</v>
      </c>
      <c r="H56" s="94">
        <v>0</v>
      </c>
      <c r="I56" s="40">
        <v>0</v>
      </c>
      <c r="J56" s="40">
        <v>0</v>
      </c>
      <c r="K56" s="40">
        <v>0</v>
      </c>
      <c r="L56" s="95">
        <v>0</v>
      </c>
      <c r="M56" s="40"/>
    </row>
    <row r="57" spans="2:17" x14ac:dyDescent="0.3">
      <c r="B57" t="s">
        <v>133</v>
      </c>
      <c r="H57" s="35">
        <v>0.125</v>
      </c>
      <c r="I57" s="36">
        <v>0.125</v>
      </c>
      <c r="J57" s="36">
        <v>0.125</v>
      </c>
      <c r="K57" s="36">
        <v>0.125</v>
      </c>
      <c r="L57" s="37">
        <v>0.125</v>
      </c>
      <c r="M57" s="33"/>
    </row>
    <row r="58" spans="2:17" x14ac:dyDescent="0.3">
      <c r="B58" s="21"/>
      <c r="C58" s="21"/>
      <c r="D58" s="21"/>
      <c r="E58" s="21"/>
      <c r="F58" s="21"/>
      <c r="G58" s="21"/>
      <c r="H58" s="114"/>
      <c r="I58" s="114"/>
      <c r="J58" s="114"/>
      <c r="K58" s="114"/>
      <c r="L58" s="114"/>
      <c r="M58" s="114"/>
      <c r="N58" s="21"/>
      <c r="O58" s="21"/>
    </row>
    <row r="60" spans="2:17" x14ac:dyDescent="0.3">
      <c r="B60" t="s">
        <v>124</v>
      </c>
      <c r="C60" s="100"/>
      <c r="D60" s="115">
        <v>0.28000000000000003</v>
      </c>
      <c r="H60" t="s">
        <v>203</v>
      </c>
      <c r="K60" s="143">
        <v>143.78465700000001</v>
      </c>
      <c r="O60" s="142"/>
      <c r="Q60" s="142"/>
    </row>
    <row r="61" spans="2:17" x14ac:dyDescent="0.3">
      <c r="B61" t="s">
        <v>126</v>
      </c>
      <c r="D61" s="116">
        <v>0.1</v>
      </c>
      <c r="H61" t="s">
        <v>204</v>
      </c>
      <c r="K61" s="193">
        <v>0.03</v>
      </c>
    </row>
    <row r="62" spans="2:17" x14ac:dyDescent="0.3">
      <c r="H62" s="194" t="s">
        <v>229</v>
      </c>
      <c r="I62" s="103"/>
      <c r="J62" s="103"/>
      <c r="K62" s="170">
        <v>8075</v>
      </c>
    </row>
    <row r="64" spans="2:17" ht="18" x14ac:dyDescent="0.35">
      <c r="B64" s="15" t="s">
        <v>159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6" spans="2:12" x14ac:dyDescent="0.3">
      <c r="B66" s="16"/>
      <c r="C66" s="16"/>
      <c r="D66" s="16"/>
      <c r="E66" s="16"/>
      <c r="F66" s="62"/>
      <c r="G66" s="62"/>
      <c r="H66" s="129" t="s">
        <v>160</v>
      </c>
      <c r="I66" s="129" t="s">
        <v>161</v>
      </c>
      <c r="J66" s="129" t="s">
        <v>161</v>
      </c>
      <c r="K66" s="129" t="s">
        <v>162</v>
      </c>
      <c r="L66" s="129" t="s">
        <v>163</v>
      </c>
    </row>
    <row r="67" spans="2:12" ht="15" thickBot="1" x14ac:dyDescent="0.35">
      <c r="B67" s="111" t="s">
        <v>164</v>
      </c>
      <c r="C67" s="111"/>
      <c r="D67" s="111" t="s">
        <v>165</v>
      </c>
      <c r="E67" s="111"/>
      <c r="F67" s="130" t="s">
        <v>166</v>
      </c>
      <c r="G67" s="130" t="s">
        <v>44</v>
      </c>
      <c r="H67" s="130" t="s">
        <v>169</v>
      </c>
      <c r="I67" s="130" t="s">
        <v>44</v>
      </c>
      <c r="J67" s="130" t="s">
        <v>167</v>
      </c>
      <c r="K67" s="130" t="s">
        <v>170</v>
      </c>
      <c r="L67" s="130" t="s">
        <v>171</v>
      </c>
    </row>
    <row r="68" spans="2:12" x14ac:dyDescent="0.3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</row>
    <row r="69" spans="2:12" x14ac:dyDescent="0.3">
      <c r="B69" t="s">
        <v>172</v>
      </c>
      <c r="D69" t="s">
        <v>173</v>
      </c>
      <c r="F69" s="119">
        <v>3275.02</v>
      </c>
      <c r="G69" s="119">
        <v>103012.98</v>
      </c>
      <c r="H69" s="120">
        <v>0.13819999999999999</v>
      </c>
      <c r="I69" s="121">
        <f>F69/G69</f>
        <v>3.1792304231952132E-2</v>
      </c>
      <c r="J69" s="121">
        <f>F69/(F69+G69)</f>
        <v>3.0812697576396205E-2</v>
      </c>
      <c r="K69" s="122">
        <v>0.13</v>
      </c>
      <c r="L69" s="123">
        <f>K69/(1+(1-H69)*I69)</f>
        <v>0.12653316737503248</v>
      </c>
    </row>
    <row r="70" spans="2:12" x14ac:dyDescent="0.3">
      <c r="B70" t="s">
        <v>174</v>
      </c>
      <c r="D70" t="s">
        <v>173</v>
      </c>
      <c r="F70" s="119">
        <v>3194</v>
      </c>
      <c r="G70" s="119">
        <v>72627</v>
      </c>
      <c r="H70" s="120">
        <v>0.29509999999999997</v>
      </c>
      <c r="I70" s="121">
        <f t="shared" ref="I70:I73" si="19">F70/G70</f>
        <v>4.3978134853429163E-2</v>
      </c>
      <c r="J70" s="121">
        <f t="shared" ref="J70:J73" si="20">F70/(F70+G70)</f>
        <v>4.2125532504187498E-2</v>
      </c>
      <c r="K70" s="122">
        <v>0.7</v>
      </c>
      <c r="L70" s="123">
        <f t="shared" ref="L70:L73" si="21">K70/(1+(1-H70)*I70)</f>
        <v>0.67895235001029786</v>
      </c>
    </row>
    <row r="71" spans="2:12" x14ac:dyDescent="0.3">
      <c r="B71" t="s">
        <v>175</v>
      </c>
      <c r="D71" t="s">
        <v>173</v>
      </c>
      <c r="F71" s="119">
        <v>2219</v>
      </c>
      <c r="G71" s="119">
        <v>39102</v>
      </c>
      <c r="H71" s="120">
        <v>0.25030000000000002</v>
      </c>
      <c r="I71" s="121">
        <f t="shared" si="19"/>
        <v>5.6749015395631937E-2</v>
      </c>
      <c r="J71" s="121">
        <f t="shared" si="20"/>
        <v>5.3701507707945115E-2</v>
      </c>
      <c r="K71" s="122">
        <v>0.3</v>
      </c>
      <c r="L71" s="123">
        <f t="shared" si="21"/>
        <v>0.28775743562689471</v>
      </c>
    </row>
    <row r="72" spans="2:12" x14ac:dyDescent="0.3">
      <c r="B72" t="s">
        <v>176</v>
      </c>
      <c r="D72" t="s">
        <v>173</v>
      </c>
      <c r="F72" s="119">
        <v>2340.2199999999998</v>
      </c>
      <c r="G72" s="119">
        <v>38045.86</v>
      </c>
      <c r="H72" s="120">
        <v>0.1613</v>
      </c>
      <c r="I72" s="121">
        <f t="shared" si="19"/>
        <v>6.1510503376714307E-2</v>
      </c>
      <c r="J72" s="121">
        <f t="shared" si="20"/>
        <v>5.7946203246267022E-2</v>
      </c>
      <c r="K72" s="122">
        <v>0.16</v>
      </c>
      <c r="L72" s="123">
        <f t="shared" si="21"/>
        <v>0.15215071803295027</v>
      </c>
    </row>
    <row r="73" spans="2:12" x14ac:dyDescent="0.3">
      <c r="B73" s="21" t="s">
        <v>179</v>
      </c>
      <c r="C73" s="21"/>
      <c r="D73" s="21" t="s">
        <v>173</v>
      </c>
      <c r="E73" s="21"/>
      <c r="F73" s="124">
        <v>1090.05</v>
      </c>
      <c r="G73" s="124">
        <v>33310.769999999997</v>
      </c>
      <c r="H73" s="125">
        <v>0.22509999999999999</v>
      </c>
      <c r="I73" s="126">
        <f t="shared" si="19"/>
        <v>3.272365063911762E-2</v>
      </c>
      <c r="J73" s="126">
        <f t="shared" si="20"/>
        <v>3.1686744676435036E-2</v>
      </c>
      <c r="K73" s="127">
        <v>0.17</v>
      </c>
      <c r="L73" s="128">
        <f t="shared" si="21"/>
        <v>0.16579582298807174</v>
      </c>
    </row>
    <row r="75" spans="2:12" x14ac:dyDescent="0.3">
      <c r="G75" s="112" t="s">
        <v>160</v>
      </c>
      <c r="H75" s="131">
        <f>AVERAGE(H69:H73)</f>
        <v>0.21400000000000002</v>
      </c>
      <c r="I75" s="131">
        <f t="shared" ref="I75:L75" si="22">AVERAGE(I69:I73)</f>
        <v>4.5350721699369032E-2</v>
      </c>
      <c r="J75" s="131">
        <f t="shared" si="22"/>
        <v>4.3254537142246183E-2</v>
      </c>
      <c r="K75" s="132">
        <f t="shared" si="22"/>
        <v>0.29199999999999993</v>
      </c>
      <c r="L75" s="132">
        <f t="shared" si="22"/>
        <v>0.28223789880664946</v>
      </c>
    </row>
    <row r="76" spans="2:12" x14ac:dyDescent="0.3">
      <c r="G76" s="20" t="s">
        <v>168</v>
      </c>
      <c r="H76" s="126">
        <f>MEDIAN(H69:H73)</f>
        <v>0.22509999999999999</v>
      </c>
      <c r="I76" s="126">
        <f t="shared" ref="I76:L76" si="23">MEDIAN(I69:I73)</f>
        <v>4.3978134853429163E-2</v>
      </c>
      <c r="J76" s="126">
        <f t="shared" si="23"/>
        <v>4.2125532504187498E-2</v>
      </c>
      <c r="K76" s="128">
        <f t="shared" si="23"/>
        <v>0.17</v>
      </c>
      <c r="L76" s="128">
        <f t="shared" si="23"/>
        <v>0.16579582298807174</v>
      </c>
    </row>
    <row r="79" spans="2:12" x14ac:dyDescent="0.3">
      <c r="B79" s="20" t="s">
        <v>180</v>
      </c>
      <c r="C79" s="21"/>
      <c r="D79" s="21"/>
      <c r="E79" s="21"/>
      <c r="F79" s="21"/>
      <c r="H79" s="20" t="s">
        <v>185</v>
      </c>
      <c r="I79" s="21"/>
      <c r="J79" s="21"/>
      <c r="K79" s="21"/>
      <c r="L79" s="21"/>
    </row>
    <row r="81" spans="2:12" x14ac:dyDescent="0.3">
      <c r="B81" s="22" t="s">
        <v>181</v>
      </c>
      <c r="F81" s="33">
        <v>7.0800000000000002E-2</v>
      </c>
      <c r="H81" s="22" t="s">
        <v>186</v>
      </c>
      <c r="L81" s="33">
        <v>7.0400000000000004E-2</v>
      </c>
    </row>
    <row r="82" spans="2:12" x14ac:dyDescent="0.3">
      <c r="B82" s="22" t="s">
        <v>182</v>
      </c>
      <c r="F82" s="118">
        <f>L75</f>
        <v>0.28223789880664946</v>
      </c>
      <c r="H82" s="22" t="s">
        <v>184</v>
      </c>
      <c r="L82" s="113">
        <f>F84</f>
        <v>2.0427413105497415E-2</v>
      </c>
    </row>
    <row r="83" spans="2:12" x14ac:dyDescent="0.3">
      <c r="B83" s="22" t="s">
        <v>183</v>
      </c>
      <c r="F83" s="118">
        <f>F82*(1+(1-L90)*F94)</f>
        <v>0.28852278397595216</v>
      </c>
      <c r="H83" s="22" t="s">
        <v>187</v>
      </c>
      <c r="L83" s="33">
        <v>2.8500000000000001E-2</v>
      </c>
    </row>
    <row r="84" spans="2:12" x14ac:dyDescent="0.3">
      <c r="B84" s="22" t="s">
        <v>184</v>
      </c>
      <c r="F84" s="139">
        <f>F81*F83</f>
        <v>2.0427413105497415E-2</v>
      </c>
      <c r="H84" s="22" t="s">
        <v>185</v>
      </c>
      <c r="L84" s="140">
        <f>SUM(L81:L83)</f>
        <v>0.11932741310549741</v>
      </c>
    </row>
    <row r="87" spans="2:12" x14ac:dyDescent="0.3">
      <c r="B87" s="20" t="s">
        <v>188</v>
      </c>
      <c r="C87" s="20"/>
      <c r="D87" s="20"/>
      <c r="E87" s="20"/>
      <c r="F87" s="20"/>
      <c r="H87" s="20" t="s">
        <v>194</v>
      </c>
      <c r="I87" s="21"/>
      <c r="J87" s="21"/>
      <c r="K87" s="21"/>
      <c r="L87" s="21"/>
    </row>
    <row r="89" spans="2:12" x14ac:dyDescent="0.3">
      <c r="D89" s="21"/>
      <c r="E89" s="136" t="s">
        <v>193</v>
      </c>
      <c r="F89" s="136" t="s">
        <v>192</v>
      </c>
      <c r="H89" s="22" t="s">
        <v>195</v>
      </c>
      <c r="L89" s="113">
        <f>-'DCF Valuation'!I25/'DCF Valuation'!I107</f>
        <v>8.9698767524808418E-2</v>
      </c>
    </row>
    <row r="90" spans="2:12" x14ac:dyDescent="0.3">
      <c r="B90" s="22" t="s">
        <v>189</v>
      </c>
      <c r="D90" s="41">
        <f>'DCF Valuation'!I107</f>
        <v>28317</v>
      </c>
      <c r="E90" s="113">
        <f>D90/D92</f>
        <v>2.8905958912849306E-2</v>
      </c>
      <c r="F90" s="113">
        <v>0.03</v>
      </c>
      <c r="H90" s="22" t="s">
        <v>124</v>
      </c>
      <c r="L90" s="104">
        <f>D60</f>
        <v>0.28000000000000003</v>
      </c>
    </row>
    <row r="91" spans="2:12" x14ac:dyDescent="0.3">
      <c r="B91" s="22" t="s">
        <v>190</v>
      </c>
      <c r="D91" s="40">
        <v>951308</v>
      </c>
      <c r="E91" s="113">
        <f>1-E90</f>
        <v>0.97109404108715069</v>
      </c>
      <c r="F91" s="113">
        <f>1-F90</f>
        <v>0.97</v>
      </c>
      <c r="H91" s="22" t="s">
        <v>196</v>
      </c>
      <c r="L91" s="140">
        <f>L89*(1-L90)</f>
        <v>6.4583112617862065E-2</v>
      </c>
    </row>
    <row r="92" spans="2:12" x14ac:dyDescent="0.3">
      <c r="B92" s="59" t="s">
        <v>191</v>
      </c>
      <c r="D92" s="134">
        <f>SUM(D90:D91)</f>
        <v>979625</v>
      </c>
      <c r="E92" s="135">
        <f>SUM(E90:E91)</f>
        <v>1</v>
      </c>
      <c r="F92" s="135">
        <f>SUM(F90:F91)</f>
        <v>1</v>
      </c>
    </row>
    <row r="94" spans="2:12" x14ac:dyDescent="0.3">
      <c r="B94" s="137" t="s">
        <v>197</v>
      </c>
      <c r="E94" s="138">
        <f>E90/E91</f>
        <v>2.9766384809125961E-2</v>
      </c>
      <c r="F94" s="138">
        <f>F90/F91</f>
        <v>3.0927835051546393E-2</v>
      </c>
    </row>
    <row r="97" spans="2:6" x14ac:dyDescent="0.3">
      <c r="B97" s="20" t="s">
        <v>198</v>
      </c>
      <c r="C97" s="21"/>
      <c r="D97" s="21"/>
      <c r="E97" s="21"/>
      <c r="F97" s="21"/>
    </row>
    <row r="99" spans="2:6" x14ac:dyDescent="0.3">
      <c r="E99" s="136" t="s">
        <v>201</v>
      </c>
      <c r="F99" s="136" t="s">
        <v>202</v>
      </c>
    </row>
    <row r="100" spans="2:6" x14ac:dyDescent="0.3">
      <c r="B100" t="s">
        <v>199</v>
      </c>
      <c r="E100" s="113">
        <f>F90</f>
        <v>0.03</v>
      </c>
      <c r="F100" s="113">
        <f>L91</f>
        <v>6.4583112617862065E-2</v>
      </c>
    </row>
    <row r="101" spans="2:6" x14ac:dyDescent="0.3">
      <c r="B101" t="s">
        <v>200</v>
      </c>
      <c r="E101" s="113">
        <f>F91</f>
        <v>0.97</v>
      </c>
      <c r="F101" s="113">
        <f>L84</f>
        <v>0.11932741310549741</v>
      </c>
    </row>
    <row r="103" spans="2:6" x14ac:dyDescent="0.3">
      <c r="B103" t="s">
        <v>198</v>
      </c>
      <c r="F103" s="141">
        <f>SUMPRODUCT(E100:E101, F100:F101)</f>
        <v>0.11768508409086835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6" r:id="rId3" name="Drop Down 4">
              <controlPr defaultSize="0" autoLine="0" autoPict="0">
                <anchor moveWithCells="1">
                  <from>
                    <xdr:col>5</xdr:col>
                    <xdr:colOff>0</xdr:colOff>
                    <xdr:row>7</xdr:row>
                    <xdr:rowOff>7620</xdr:rowOff>
                  </from>
                  <to>
                    <xdr:col>6</xdr:col>
                    <xdr:colOff>411480</xdr:colOff>
                    <xdr:row>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6D4F-A1EC-4F08-A0DA-CF58905EE60C}">
  <dimension ref="B8:O33"/>
  <sheetViews>
    <sheetView showGridLines="0" workbookViewId="0">
      <selection activeCell="M17" sqref="M17"/>
    </sheetView>
  </sheetViews>
  <sheetFormatPr defaultRowHeight="14.4" x14ac:dyDescent="0.3"/>
  <cols>
    <col min="7" max="7" width="9.8984375" bestFit="1" customWidth="1"/>
    <col min="9" max="9" width="9.3984375" customWidth="1"/>
    <col min="10" max="10" width="8.69921875" customWidth="1"/>
    <col min="12" max="12" width="9" customWidth="1"/>
    <col min="18" max="18" width="10.8984375" bestFit="1" customWidth="1"/>
  </cols>
  <sheetData>
    <row r="8" spans="2:15" ht="18" x14ac:dyDescent="0.35">
      <c r="B8" s="15" t="s">
        <v>231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10" spans="2:15" x14ac:dyDescent="0.3">
      <c r="B10" s="17" t="s">
        <v>232</v>
      </c>
    </row>
    <row r="11" spans="2:15" x14ac:dyDescent="0.3">
      <c r="B11" s="17"/>
    </row>
    <row r="12" spans="2:15" x14ac:dyDescent="0.3">
      <c r="B12" s="16"/>
      <c r="C12" s="16"/>
      <c r="D12" s="16"/>
      <c r="E12" s="62"/>
      <c r="F12" s="62" t="s">
        <v>234</v>
      </c>
      <c r="G12" s="62" t="s">
        <v>236</v>
      </c>
      <c r="H12" s="62"/>
      <c r="I12" s="62" t="s">
        <v>237</v>
      </c>
      <c r="J12" s="62" t="s">
        <v>8</v>
      </c>
      <c r="K12" s="62"/>
      <c r="L12" s="62"/>
    </row>
    <row r="13" spans="2:15" x14ac:dyDescent="0.3">
      <c r="B13" s="20" t="s">
        <v>233</v>
      </c>
      <c r="C13" s="20"/>
      <c r="D13" s="20"/>
      <c r="E13" s="168"/>
      <c r="F13" s="168" t="s">
        <v>235</v>
      </c>
      <c r="G13" s="168" t="s">
        <v>224</v>
      </c>
      <c r="H13" s="168" t="s">
        <v>8</v>
      </c>
      <c r="I13" s="168" t="s">
        <v>8</v>
      </c>
      <c r="J13" s="168" t="s">
        <v>219</v>
      </c>
      <c r="K13" s="168" t="s">
        <v>238</v>
      </c>
      <c r="L13" s="168" t="s">
        <v>239</v>
      </c>
    </row>
    <row r="14" spans="2:15" x14ac:dyDescent="0.3">
      <c r="B14" s="190"/>
      <c r="F14" s="188" t="s">
        <v>240</v>
      </c>
      <c r="G14" s="189"/>
      <c r="I14" s="189"/>
      <c r="J14" s="187" t="s">
        <v>242</v>
      </c>
      <c r="L14" s="189"/>
    </row>
    <row r="15" spans="2:15" x14ac:dyDescent="0.3">
      <c r="B15" s="191" t="s">
        <v>241</v>
      </c>
      <c r="F15" s="219">
        <f>Inputs!K62</f>
        <v>8075</v>
      </c>
      <c r="G15" s="210">
        <f>'DCF Valuation'!F285</f>
        <v>315962.17868783482</v>
      </c>
      <c r="H15" s="220">
        <f>'DCF Valuation'!I18</f>
        <v>23555</v>
      </c>
      <c r="I15" s="202">
        <f>G15/H15</f>
        <v>13.413805081207167</v>
      </c>
      <c r="J15" s="120">
        <v>0.23499999999999999</v>
      </c>
      <c r="K15" s="196">
        <v>135.04</v>
      </c>
      <c r="L15" s="202">
        <f>F15/K15</f>
        <v>59.79709715639811</v>
      </c>
    </row>
    <row r="16" spans="2:15" x14ac:dyDescent="0.3">
      <c r="B16" s="191" t="s">
        <v>172</v>
      </c>
      <c r="F16" s="197">
        <v>1100</v>
      </c>
      <c r="G16" s="195">
        <v>1091973.3</v>
      </c>
      <c r="H16" s="119">
        <v>20040.400000000001</v>
      </c>
      <c r="I16" s="202">
        <f t="shared" ref="I16:I20" si="0">G16/H16</f>
        <v>54.488598031975407</v>
      </c>
      <c r="J16" s="120">
        <v>0.23150000000000001</v>
      </c>
      <c r="K16" s="196">
        <v>14.6</v>
      </c>
      <c r="L16" s="202">
        <f t="shared" ref="L16:L20" si="1">F16/K16</f>
        <v>75.342465753424662</v>
      </c>
    </row>
    <row r="17" spans="2:15" x14ac:dyDescent="0.3">
      <c r="B17" s="191" t="s">
        <v>174</v>
      </c>
      <c r="F17" s="197">
        <v>979</v>
      </c>
      <c r="G17" s="195">
        <v>763732</v>
      </c>
      <c r="H17" s="119">
        <v>16626.7</v>
      </c>
      <c r="I17" s="202">
        <f t="shared" si="0"/>
        <v>45.934069899619288</v>
      </c>
      <c r="J17" s="120">
        <v>0.14180000000000001</v>
      </c>
      <c r="K17" s="196">
        <v>12.71</v>
      </c>
      <c r="L17" s="202">
        <f t="shared" si="1"/>
        <v>77.025963808025168</v>
      </c>
    </row>
    <row r="18" spans="2:15" x14ac:dyDescent="0.3">
      <c r="B18" s="191" t="s">
        <v>175</v>
      </c>
      <c r="F18" s="197">
        <v>762</v>
      </c>
      <c r="G18" s="195">
        <v>403207.2</v>
      </c>
      <c r="H18" s="119">
        <v>9896.2999999999993</v>
      </c>
      <c r="I18" s="202">
        <f t="shared" si="0"/>
        <v>40.743227266756264</v>
      </c>
      <c r="J18" s="120">
        <v>0.27</v>
      </c>
      <c r="K18" s="196">
        <v>7.49</v>
      </c>
      <c r="L18" s="202">
        <f t="shared" si="1"/>
        <v>101.73564753004005</v>
      </c>
    </row>
    <row r="19" spans="2:15" x14ac:dyDescent="0.3">
      <c r="B19" s="191" t="s">
        <v>176</v>
      </c>
      <c r="F19" s="197">
        <v>1916</v>
      </c>
      <c r="G19" s="195">
        <v>408572.1</v>
      </c>
      <c r="H19" s="119">
        <v>13747.5</v>
      </c>
      <c r="I19" s="202">
        <f t="shared" si="0"/>
        <v>29.719738134206217</v>
      </c>
      <c r="J19" s="120">
        <v>0.25340000000000001</v>
      </c>
      <c r="K19" s="196">
        <v>38.119999999999997</v>
      </c>
      <c r="L19" s="202">
        <f t="shared" si="1"/>
        <v>50.262329485834208</v>
      </c>
    </row>
    <row r="20" spans="2:15" x14ac:dyDescent="0.3">
      <c r="B20" s="192" t="s">
        <v>179</v>
      </c>
      <c r="C20" s="21"/>
      <c r="D20" s="21"/>
      <c r="E20" s="21"/>
      <c r="F20" s="198">
        <v>1238</v>
      </c>
      <c r="G20" s="199">
        <v>332280.3</v>
      </c>
      <c r="H20" s="200">
        <v>10176.900000000001</v>
      </c>
      <c r="I20" s="203">
        <f t="shared" si="0"/>
        <v>32.650443651799655</v>
      </c>
      <c r="J20" s="125">
        <v>0.1404</v>
      </c>
      <c r="K20" s="201">
        <v>20.7</v>
      </c>
      <c r="L20" s="203">
        <f t="shared" si="1"/>
        <v>59.806763285024154</v>
      </c>
    </row>
    <row r="23" spans="2:15" ht="18" x14ac:dyDescent="0.35">
      <c r="B23" s="15" t="s">
        <v>243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5" spans="2:15" x14ac:dyDescent="0.3">
      <c r="B25" s="17" t="s">
        <v>232</v>
      </c>
    </row>
    <row r="27" spans="2:15" x14ac:dyDescent="0.3">
      <c r="G27" s="62" t="s">
        <v>236</v>
      </c>
      <c r="H27" s="62"/>
      <c r="I27" s="62" t="s">
        <v>237</v>
      </c>
      <c r="J27" s="62" t="s">
        <v>8</v>
      </c>
    </row>
    <row r="28" spans="2:15" x14ac:dyDescent="0.3">
      <c r="B28" s="20" t="s">
        <v>243</v>
      </c>
      <c r="C28" s="21"/>
      <c r="D28" s="21"/>
      <c r="G28" s="62" t="s">
        <v>224</v>
      </c>
      <c r="H28" s="62" t="s">
        <v>8</v>
      </c>
      <c r="I28" s="62" t="s">
        <v>8</v>
      </c>
      <c r="J28" s="62" t="s">
        <v>219</v>
      </c>
    </row>
    <row r="29" spans="2:15" x14ac:dyDescent="0.3">
      <c r="G29" s="206"/>
      <c r="H29" s="207"/>
      <c r="I29" s="208"/>
      <c r="J29" s="204" t="s">
        <v>242</v>
      </c>
    </row>
    <row r="30" spans="2:15" x14ac:dyDescent="0.3">
      <c r="B30" s="22" t="s">
        <v>160</v>
      </c>
      <c r="G30" s="209">
        <f>H30*I30</f>
        <v>851709.07867572666</v>
      </c>
      <c r="H30" s="210">
        <f>H15</f>
        <v>23555</v>
      </c>
      <c r="I30" s="211">
        <f>AVERAGE(I15:I20)</f>
        <v>36.158313677594002</v>
      </c>
      <c r="J30" s="212">
        <f>J15</f>
        <v>0.23499999999999999</v>
      </c>
    </row>
    <row r="31" spans="2:15" x14ac:dyDescent="0.3">
      <c r="B31" s="22" t="s">
        <v>168</v>
      </c>
      <c r="G31" s="209">
        <f t="shared" ref="G31:G33" si="2">H31*I31</f>
        <v>864393.95924329245</v>
      </c>
      <c r="H31" s="210">
        <f>H30</f>
        <v>23555</v>
      </c>
      <c r="I31" s="211">
        <f>MEDIAN(I15:I20)</f>
        <v>36.696835459277963</v>
      </c>
      <c r="J31" s="212">
        <f>J30</f>
        <v>0.23499999999999999</v>
      </c>
    </row>
    <row r="32" spans="2:15" x14ac:dyDescent="0.3">
      <c r="B32" s="22" t="s">
        <v>244</v>
      </c>
      <c r="G32" s="209">
        <f t="shared" si="2"/>
        <v>1283478.9266431807</v>
      </c>
      <c r="H32" s="210">
        <f t="shared" ref="H32:H33" si="3">H31</f>
        <v>23555</v>
      </c>
      <c r="I32" s="211">
        <f>MAX(I15:I20)</f>
        <v>54.488598031975407</v>
      </c>
      <c r="J32" s="212">
        <f t="shared" ref="J32:J33" si="4">J31</f>
        <v>0.23499999999999999</v>
      </c>
    </row>
    <row r="33" spans="2:10" x14ac:dyDescent="0.3">
      <c r="B33" s="22" t="s">
        <v>245</v>
      </c>
      <c r="F33" s="205"/>
      <c r="G33" s="216">
        <f t="shared" si="2"/>
        <v>315962.17868783482</v>
      </c>
      <c r="H33" s="213">
        <f t="shared" si="3"/>
        <v>23555</v>
      </c>
      <c r="I33" s="214">
        <f>MIN(I15:I20)</f>
        <v>13.413805081207167</v>
      </c>
      <c r="J33" s="215">
        <f t="shared" si="4"/>
        <v>0.23499999999999999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6A596-8BF2-4761-8637-9579BADC1FAC}">
  <dimension ref="A8:T311"/>
  <sheetViews>
    <sheetView showGridLines="0" zoomScaleNormal="100" workbookViewId="0"/>
  </sheetViews>
  <sheetFormatPr defaultRowHeight="14.4" outlineLevelRow="1" x14ac:dyDescent="0.3"/>
  <cols>
    <col min="4" max="4" width="10.69921875" customWidth="1"/>
    <col min="5" max="5" width="10.09765625" customWidth="1"/>
  </cols>
  <sheetData>
    <row r="8" spans="1:20" ht="18" x14ac:dyDescent="0.35">
      <c r="A8" t="s">
        <v>145</v>
      </c>
      <c r="B8" s="15" t="s">
        <v>3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20" outlineLevel="1" x14ac:dyDescent="0.3"/>
    <row r="10" spans="1:20" outlineLevel="1" x14ac:dyDescent="0.3">
      <c r="B10" s="17" t="s">
        <v>216</v>
      </c>
      <c r="H10" s="18">
        <v>2024</v>
      </c>
      <c r="I10" s="18">
        <f>H10 + 1</f>
        <v>2025</v>
      </c>
      <c r="J10" s="19">
        <f t="shared" ref="J10:N10" si="0">I10 + 1</f>
        <v>2026</v>
      </c>
      <c r="K10" s="19">
        <f t="shared" si="0"/>
        <v>2027</v>
      </c>
      <c r="L10" s="19">
        <f t="shared" si="0"/>
        <v>2028</v>
      </c>
      <c r="M10" s="19">
        <f t="shared" si="0"/>
        <v>2029</v>
      </c>
      <c r="N10" s="19">
        <f t="shared" si="0"/>
        <v>2030</v>
      </c>
      <c r="O10" s="105"/>
    </row>
    <row r="11" spans="1:20" outlineLevel="1" x14ac:dyDescent="0.3">
      <c r="B11" s="17" t="str">
        <f>_xlfn.CONCAT("Model Currently Running:", " ", INDEX(Inputs!$B$15:$B$17, Inputs!$F$8), " ", "Scenario")</f>
        <v>Model Currently Running: Base Case Scenario</v>
      </c>
    </row>
    <row r="12" spans="1:20" outlineLevel="1" x14ac:dyDescent="0.3"/>
    <row r="13" spans="1:20" outlineLevel="1" x14ac:dyDescent="0.3">
      <c r="B13" t="s">
        <v>4</v>
      </c>
      <c r="H13" s="40">
        <v>74537</v>
      </c>
      <c r="I13" s="40">
        <v>85498</v>
      </c>
      <c r="J13" s="41">
        <f>I13*(1+Inputs!H13)</f>
        <v>98322.7</v>
      </c>
      <c r="K13" s="41">
        <f>J13*(1+Inputs!I13)</f>
        <v>112579.4915</v>
      </c>
      <c r="L13" s="41">
        <f>K13*(1+Inputs!J13)</f>
        <v>128340.62031</v>
      </c>
      <c r="M13" s="41">
        <f>L13*(1+Inputs!K13)</f>
        <v>145987.45560262501</v>
      </c>
      <c r="N13" s="41">
        <f>M13*(1+Inputs!L13)</f>
        <v>165695.7621089794</v>
      </c>
      <c r="O13" s="41"/>
      <c r="R13" s="104"/>
    </row>
    <row r="14" spans="1:20" outlineLevel="1" x14ac:dyDescent="0.3">
      <c r="B14" t="s">
        <v>5</v>
      </c>
      <c r="H14" s="40">
        <v>-19990</v>
      </c>
      <c r="I14" s="40">
        <v>-22848</v>
      </c>
      <c r="J14" s="41">
        <f>-J13 * Inputs!H20</f>
        <v>-24580.674999999999</v>
      </c>
      <c r="K14" s="41">
        <f>-K13 * Inputs!I20</f>
        <v>-28426.321603750002</v>
      </c>
      <c r="L14" s="41">
        <f>-L13 * Inputs!J20</f>
        <v>-32726.858179049999</v>
      </c>
      <c r="M14" s="41">
        <f>-M13 * Inputs!K20</f>
        <v>-37591.769817675937</v>
      </c>
      <c r="N14" s="41">
        <f>-N13 * Inputs!L20</f>
        <v>-43080.898148334643</v>
      </c>
      <c r="O14" s="41"/>
    </row>
    <row r="15" spans="1:20" outlineLevel="1" x14ac:dyDescent="0.3">
      <c r="B15" s="16" t="s">
        <v>6</v>
      </c>
      <c r="H15" s="42">
        <f>SUM(H13:H14)</f>
        <v>54547</v>
      </c>
      <c r="I15" s="42">
        <f>SUM(I13:I14)</f>
        <v>62650</v>
      </c>
      <c r="J15" s="42">
        <f>SUM(J13:J14)</f>
        <v>73742.024999999994</v>
      </c>
      <c r="K15" s="42">
        <f t="shared" ref="K15:N15" si="1">SUM(K13:K14)</f>
        <v>84153.169896250009</v>
      </c>
      <c r="L15" s="42">
        <f t="shared" si="1"/>
        <v>95613.762130949995</v>
      </c>
      <c r="M15" s="42">
        <f t="shared" si="1"/>
        <v>108395.68578494908</v>
      </c>
      <c r="N15" s="42">
        <f t="shared" si="1"/>
        <v>122614.86396064475</v>
      </c>
      <c r="O15" s="73"/>
      <c r="R15" s="104"/>
      <c r="S15" s="104"/>
      <c r="T15" s="104"/>
    </row>
    <row r="16" spans="1:20" outlineLevel="1" x14ac:dyDescent="0.3">
      <c r="H16" s="41"/>
      <c r="I16" s="41"/>
      <c r="J16" s="41"/>
      <c r="K16" s="43"/>
      <c r="L16" s="41"/>
      <c r="M16" s="41"/>
      <c r="N16" s="41"/>
    </row>
    <row r="17" spans="2:19" outlineLevel="1" x14ac:dyDescent="0.3">
      <c r="B17" t="s">
        <v>7</v>
      </c>
      <c r="H17" s="40">
        <f>-(14252+20521)</f>
        <v>-34773</v>
      </c>
      <c r="I17" s="40">
        <f>-(15968+23127)</f>
        <v>-39095</v>
      </c>
      <c r="J17" s="41">
        <f>-J13 * Inputs!H27</f>
        <v>-39329.08</v>
      </c>
      <c r="K17" s="41">
        <f>-K13 * Inputs!I27</f>
        <v>-45313.245328750003</v>
      </c>
      <c r="L17" s="41">
        <f>-L13 * Inputs!J27</f>
        <v>-51977.951225550001</v>
      </c>
      <c r="M17" s="41">
        <f>-M13 * Inputs!K27</f>
        <v>-59489.888158069698</v>
      </c>
      <c r="N17" s="41">
        <f>-N13 * Inputs!L27</f>
        <v>-67935.262464681553</v>
      </c>
      <c r="O17" s="41"/>
      <c r="S17" s="104"/>
    </row>
    <row r="18" spans="2:19" outlineLevel="1" x14ac:dyDescent="0.3">
      <c r="B18" s="16" t="s">
        <v>8</v>
      </c>
      <c r="H18" s="42">
        <f>SUM(H15, H17)</f>
        <v>19774</v>
      </c>
      <c r="I18" s="42">
        <f t="shared" ref="I18:N18" si="2">SUM(I15, I17)</f>
        <v>23555</v>
      </c>
      <c r="J18" s="42">
        <f t="shared" si="2"/>
        <v>34412.944999999992</v>
      </c>
      <c r="K18" s="42">
        <f t="shared" si="2"/>
        <v>38839.924567500006</v>
      </c>
      <c r="L18" s="42">
        <f t="shared" si="2"/>
        <v>43635.810905399994</v>
      </c>
      <c r="M18" s="42">
        <f t="shared" si="2"/>
        <v>48905.797626879379</v>
      </c>
      <c r="N18" s="42">
        <f t="shared" si="2"/>
        <v>54679.601495963201</v>
      </c>
      <c r="O18" s="73"/>
    </row>
    <row r="19" spans="2:19" outlineLevel="1" x14ac:dyDescent="0.3">
      <c r="H19" s="41"/>
      <c r="I19" s="41"/>
      <c r="J19" s="41"/>
      <c r="K19" s="41"/>
      <c r="L19" s="41"/>
      <c r="M19" s="41"/>
      <c r="N19" s="41"/>
      <c r="O19" s="41"/>
    </row>
    <row r="20" spans="2:19" outlineLevel="1" x14ac:dyDescent="0.3">
      <c r="B20" t="s">
        <v>9</v>
      </c>
      <c r="H20" s="40">
        <v>-3990</v>
      </c>
      <c r="I20" s="40">
        <v>-4494</v>
      </c>
      <c r="J20" s="41">
        <f>-J195</f>
        <v>-9726.1479428571438</v>
      </c>
      <c r="K20" s="41">
        <f t="shared" ref="K20:N20" si="3">-K195</f>
        <v>-10569.756708857143</v>
      </c>
      <c r="L20" s="41">
        <f t="shared" si="3"/>
        <v>-11533.437156097143</v>
      </c>
      <c r="M20" s="41">
        <f t="shared" si="3"/>
        <v>-12630.749459747643</v>
      </c>
      <c r="N20" s="41">
        <f t="shared" si="3"/>
        <v>-13877.482330594061</v>
      </c>
      <c r="O20" s="41"/>
    </row>
    <row r="21" spans="2:19" outlineLevel="1" x14ac:dyDescent="0.3">
      <c r="B21" s="16" t="s">
        <v>10</v>
      </c>
      <c r="H21" s="42">
        <f>SUM(H18, H20)</f>
        <v>15784</v>
      </c>
      <c r="I21" s="42">
        <f t="shared" ref="I21:N21" si="4">SUM(I18, I20)</f>
        <v>19061</v>
      </c>
      <c r="J21" s="42">
        <f t="shared" si="4"/>
        <v>24686.797057142849</v>
      </c>
      <c r="K21" s="42">
        <f t="shared" si="4"/>
        <v>28270.167858642861</v>
      </c>
      <c r="L21" s="42">
        <f t="shared" si="4"/>
        <v>32102.373749302853</v>
      </c>
      <c r="M21" s="42">
        <f t="shared" si="4"/>
        <v>36275.048167131739</v>
      </c>
      <c r="N21" s="42">
        <f t="shared" si="4"/>
        <v>40802.119165369142</v>
      </c>
      <c r="O21" s="73"/>
    </row>
    <row r="22" spans="2:19" outlineLevel="1" x14ac:dyDescent="0.3">
      <c r="H22" s="41"/>
      <c r="I22" s="41"/>
      <c r="J22" s="41"/>
      <c r="K22" s="41"/>
      <c r="L22" s="41"/>
      <c r="M22" s="41"/>
      <c r="N22" s="41"/>
      <c r="O22" s="41"/>
    </row>
    <row r="23" spans="2:19" outlineLevel="1" x14ac:dyDescent="0.3">
      <c r="B23" t="s">
        <v>17</v>
      </c>
      <c r="H23" s="40">
        <v>0</v>
      </c>
      <c r="I23" s="40">
        <v>0</v>
      </c>
      <c r="J23" s="41">
        <f>I23</f>
        <v>0</v>
      </c>
      <c r="K23" s="41">
        <f t="shared" ref="K23:N23" si="5">J23</f>
        <v>0</v>
      </c>
      <c r="L23" s="41">
        <f t="shared" si="5"/>
        <v>0</v>
      </c>
      <c r="M23" s="41">
        <f t="shared" si="5"/>
        <v>0</v>
      </c>
      <c r="N23" s="41">
        <f t="shared" si="5"/>
        <v>0</v>
      </c>
      <c r="O23" s="41"/>
    </row>
    <row r="24" spans="2:19" outlineLevel="1" x14ac:dyDescent="0.3">
      <c r="B24" t="s">
        <v>11</v>
      </c>
      <c r="H24" s="40">
        <v>0</v>
      </c>
      <c r="I24" s="40">
        <v>0</v>
      </c>
      <c r="J24" s="41">
        <f>I24</f>
        <v>0</v>
      </c>
      <c r="K24" s="41">
        <f t="shared" ref="K24:N24" si="6">J24</f>
        <v>0</v>
      </c>
      <c r="L24" s="41">
        <f t="shared" si="6"/>
        <v>0</v>
      </c>
      <c r="M24" s="41">
        <f t="shared" si="6"/>
        <v>0</v>
      </c>
      <c r="N24" s="41">
        <f t="shared" si="6"/>
        <v>0</v>
      </c>
      <c r="O24" s="41"/>
    </row>
    <row r="25" spans="2:19" outlineLevel="1" x14ac:dyDescent="0.3">
      <c r="B25" t="s">
        <v>12</v>
      </c>
      <c r="H25" s="40">
        <v>-2498</v>
      </c>
      <c r="I25" s="40">
        <f>-2540</f>
        <v>-2540</v>
      </c>
      <c r="J25" s="41">
        <f>-J216</f>
        <v>-2781.7000000000003</v>
      </c>
      <c r="K25" s="41">
        <f t="shared" ref="K25:N25" si="7">-K216</f>
        <v>-2681.7000000000003</v>
      </c>
      <c r="L25" s="41">
        <f t="shared" si="7"/>
        <v>-2581.7000000000003</v>
      </c>
      <c r="M25" s="41">
        <f t="shared" si="7"/>
        <v>-2481.7000000000003</v>
      </c>
      <c r="N25" s="41">
        <f t="shared" si="7"/>
        <v>-2381.7000000000003</v>
      </c>
      <c r="O25" s="41"/>
    </row>
    <row r="26" spans="2:19" outlineLevel="1" x14ac:dyDescent="0.3">
      <c r="B26" s="16" t="s">
        <v>13</v>
      </c>
      <c r="H26" s="42">
        <f>SUM(H21, H23:H25)</f>
        <v>13286</v>
      </c>
      <c r="I26" s="42">
        <f t="shared" ref="I26:N26" si="8">SUM(I21, I23:I25)</f>
        <v>16521</v>
      </c>
      <c r="J26" s="42">
        <f t="shared" si="8"/>
        <v>21905.097057142848</v>
      </c>
      <c r="K26" s="42">
        <f t="shared" si="8"/>
        <v>25588.46785864286</v>
      </c>
      <c r="L26" s="42">
        <f t="shared" si="8"/>
        <v>29520.673749302852</v>
      </c>
      <c r="M26" s="42">
        <f t="shared" si="8"/>
        <v>33793.348167131742</v>
      </c>
      <c r="N26" s="42">
        <f t="shared" si="8"/>
        <v>38420.419165369145</v>
      </c>
      <c r="O26" s="73"/>
    </row>
    <row r="27" spans="2:19" outlineLevel="1" x14ac:dyDescent="0.3">
      <c r="H27" s="41"/>
      <c r="I27" s="41"/>
      <c r="J27" s="41"/>
      <c r="K27" s="41"/>
      <c r="L27" s="41"/>
      <c r="M27" s="41"/>
      <c r="N27" s="41"/>
      <c r="O27" s="41"/>
    </row>
    <row r="28" spans="2:19" outlineLevel="1" x14ac:dyDescent="0.3">
      <c r="B28" t="s">
        <v>14</v>
      </c>
      <c r="H28" s="40">
        <f>-3181</f>
        <v>-3181</v>
      </c>
      <c r="I28" s="40">
        <f>-3922</f>
        <v>-3922</v>
      </c>
      <c r="J28" s="41">
        <f>-J26 * Inputs!$D$60</f>
        <v>-6133.4271759999983</v>
      </c>
      <c r="K28" s="41">
        <f>-K26 * Inputs!$D$60</f>
        <v>-7164.7710004200017</v>
      </c>
      <c r="L28" s="41">
        <f>-L26 * Inputs!$D$60</f>
        <v>-8265.7886498047992</v>
      </c>
      <c r="M28" s="41">
        <f>-M26 * Inputs!$D$60</f>
        <v>-9462.137486796888</v>
      </c>
      <c r="N28" s="41">
        <f>-N26 * Inputs!$D$60</f>
        <v>-10757.717366303361</v>
      </c>
      <c r="O28" s="41"/>
    </row>
    <row r="29" spans="2:19" outlineLevel="1" x14ac:dyDescent="0.3">
      <c r="H29" s="41"/>
      <c r="I29" s="41"/>
      <c r="J29" s="41"/>
      <c r="K29" s="41"/>
      <c r="L29" s="41"/>
      <c r="M29" s="41"/>
      <c r="N29" s="41"/>
      <c r="O29" s="41"/>
    </row>
    <row r="30" spans="2:19" ht="15" outlineLevel="1" thickBot="1" x14ac:dyDescent="0.35">
      <c r="B30" s="16" t="s">
        <v>15</v>
      </c>
      <c r="H30" s="44">
        <f>SUM(H26, H28)</f>
        <v>10105</v>
      </c>
      <c r="I30" s="44">
        <f t="shared" ref="I30:N30" si="9">SUM(I26, I28)</f>
        <v>12599</v>
      </c>
      <c r="J30" s="44">
        <f>SUM(J26, J28)</f>
        <v>15771.66988114285</v>
      </c>
      <c r="K30" s="44">
        <f t="shared" si="9"/>
        <v>18423.696858222858</v>
      </c>
      <c r="L30" s="44">
        <f t="shared" si="9"/>
        <v>21254.885099498053</v>
      </c>
      <c r="M30" s="44">
        <f t="shared" si="9"/>
        <v>24331.210680334854</v>
      </c>
      <c r="N30" s="44">
        <f t="shared" si="9"/>
        <v>27662.701799065784</v>
      </c>
      <c r="O30" s="73"/>
    </row>
    <row r="31" spans="2:19" outlineLevel="1" x14ac:dyDescent="0.3">
      <c r="H31" s="41"/>
      <c r="I31" s="41"/>
      <c r="J31" s="41"/>
      <c r="K31" s="41"/>
      <c r="L31" s="41"/>
      <c r="M31" s="41"/>
      <c r="N31" s="41"/>
    </row>
    <row r="32" spans="2:19" x14ac:dyDescent="0.3">
      <c r="H32" s="41"/>
      <c r="I32" s="41"/>
      <c r="J32" s="41"/>
      <c r="K32" s="41"/>
      <c r="L32" s="41"/>
      <c r="M32" s="41"/>
      <c r="N32" s="41"/>
    </row>
    <row r="33" spans="1:16" ht="18" x14ac:dyDescent="0.35">
      <c r="A33" t="s">
        <v>145</v>
      </c>
      <c r="B33" s="15" t="s">
        <v>49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outlineLevel="1" x14ac:dyDescent="0.3"/>
    <row r="35" spans="1:16" outlineLevel="1" x14ac:dyDescent="0.3">
      <c r="B35" s="17" t="s">
        <v>217</v>
      </c>
      <c r="H35" s="107"/>
      <c r="I35" s="18">
        <v>2025</v>
      </c>
      <c r="J35" s="19">
        <f t="shared" ref="J35" si="10">I35 + 1</f>
        <v>2026</v>
      </c>
      <c r="K35" s="19">
        <f t="shared" ref="K35" si="11">J35 + 1</f>
        <v>2027</v>
      </c>
      <c r="L35" s="19">
        <f t="shared" ref="L35" si="12">K35 + 1</f>
        <v>2028</v>
      </c>
      <c r="M35" s="19">
        <f t="shared" ref="M35" si="13">L35 + 1</f>
        <v>2029</v>
      </c>
      <c r="N35" s="19">
        <f t="shared" ref="N35" si="14">M35 + 1</f>
        <v>2030</v>
      </c>
      <c r="O35" s="105"/>
    </row>
    <row r="36" spans="1:16" outlineLevel="1" x14ac:dyDescent="0.3">
      <c r="B36" s="17" t="str">
        <f>_xlfn.CONCAT("Model Currently Running:", " ", INDEX(Inputs!$B$15:$B$17, Inputs!$F$8), " ", "Scenario")</f>
        <v>Model Currently Running: Base Case Scenario</v>
      </c>
    </row>
    <row r="37" spans="1:16" outlineLevel="1" x14ac:dyDescent="0.3">
      <c r="B37" s="17"/>
    </row>
    <row r="38" spans="1:16" outlineLevel="1" x14ac:dyDescent="0.3">
      <c r="B38" s="20" t="s">
        <v>50</v>
      </c>
      <c r="C38" s="21"/>
      <c r="D38" s="21"/>
    </row>
    <row r="39" spans="1:16" outlineLevel="1" x14ac:dyDescent="0.3"/>
    <row r="40" spans="1:16" outlineLevel="1" x14ac:dyDescent="0.3">
      <c r="B40" t="s">
        <v>15</v>
      </c>
      <c r="J40" s="60">
        <f>J30</f>
        <v>15771.66988114285</v>
      </c>
      <c r="K40" s="60">
        <f t="shared" ref="K40:N40" si="15">K30</f>
        <v>18423.696858222858</v>
      </c>
      <c r="L40" s="60">
        <f t="shared" si="15"/>
        <v>21254.885099498053</v>
      </c>
      <c r="M40" s="60">
        <f t="shared" si="15"/>
        <v>24331.210680334854</v>
      </c>
      <c r="N40" s="60">
        <f t="shared" si="15"/>
        <v>27662.701799065784</v>
      </c>
      <c r="O40" s="60"/>
    </row>
    <row r="41" spans="1:16" outlineLevel="1" x14ac:dyDescent="0.3">
      <c r="B41" t="s">
        <v>51</v>
      </c>
      <c r="J41" s="60">
        <f>-J20</f>
        <v>9726.1479428571438</v>
      </c>
      <c r="K41" s="60">
        <f t="shared" ref="K41:N41" si="16">-K20</f>
        <v>10569.756708857143</v>
      </c>
      <c r="L41" s="60">
        <f t="shared" si="16"/>
        <v>11533.437156097143</v>
      </c>
      <c r="M41" s="60">
        <f t="shared" si="16"/>
        <v>12630.749459747643</v>
      </c>
      <c r="N41" s="60">
        <f t="shared" si="16"/>
        <v>13877.482330594061</v>
      </c>
      <c r="O41" s="60"/>
    </row>
    <row r="42" spans="1:16" outlineLevel="1" x14ac:dyDescent="0.3">
      <c r="B42" s="23" t="s">
        <v>52</v>
      </c>
      <c r="J42" s="60">
        <f>-(J84-I84)</f>
        <v>-1280.2041095890399</v>
      </c>
      <c r="K42" s="60">
        <f t="shared" ref="K42:N42" si="17">-(K84-J84)</f>
        <v>-1367.0895958904111</v>
      </c>
      <c r="L42" s="60">
        <f t="shared" si="17"/>
        <v>-1511.3411187671227</v>
      </c>
      <c r="M42" s="60">
        <f t="shared" si="17"/>
        <v>-1692.162288333906</v>
      </c>
      <c r="N42" s="60">
        <f t="shared" si="17"/>
        <v>-1889.8376101983649</v>
      </c>
      <c r="O42" s="60"/>
    </row>
    <row r="43" spans="1:16" outlineLevel="1" x14ac:dyDescent="0.3">
      <c r="B43" s="23" t="s">
        <v>53</v>
      </c>
      <c r="J43" s="60">
        <f>-(J85-I85)</f>
        <v>-80.886301369862849</v>
      </c>
      <c r="K43" s="60">
        <f t="shared" ref="K43:N43" si="18">-(K85-J85)</f>
        <v>-210.72036184931517</v>
      </c>
      <c r="L43" s="60">
        <f t="shared" si="18"/>
        <v>-235.64583974246557</v>
      </c>
      <c r="M43" s="60">
        <f t="shared" si="18"/>
        <v>-266.57050074662675</v>
      </c>
      <c r="N43" s="60">
        <f t="shared" si="18"/>
        <v>-300.7741551045865</v>
      </c>
      <c r="O43" s="60"/>
    </row>
    <row r="44" spans="1:16" outlineLevel="1" x14ac:dyDescent="0.3">
      <c r="B44" s="23" t="s">
        <v>54</v>
      </c>
      <c r="J44" s="60">
        <f>-(J86-I86)</f>
        <v>-826.79999999999927</v>
      </c>
      <c r="K44" s="60">
        <f t="shared" ref="K44:N44" si="19">-(K86-J86)</f>
        <v>-919.1260000000002</v>
      </c>
      <c r="L44" s="60">
        <f t="shared" si="19"/>
        <v>-1016.1096399999988</v>
      </c>
      <c r="M44" s="60">
        <f t="shared" si="19"/>
        <v>-1137.6799004999993</v>
      </c>
      <c r="N44" s="60">
        <f t="shared" si="19"/>
        <v>-1270.581597967499</v>
      </c>
      <c r="O44" s="60"/>
    </row>
    <row r="45" spans="1:16" outlineLevel="1" x14ac:dyDescent="0.3">
      <c r="B45" s="23" t="s">
        <v>55</v>
      </c>
      <c r="J45" s="60">
        <f>J101-I101</f>
        <v>864.48253424657378</v>
      </c>
      <c r="K45" s="60">
        <f t="shared" ref="K45:N45" si="20">K101-J101</f>
        <v>1422.3624424828795</v>
      </c>
      <c r="L45" s="60">
        <f t="shared" si="20"/>
        <v>1590.6094182616416</v>
      </c>
      <c r="M45" s="60">
        <f t="shared" si="20"/>
        <v>1799.3508800397303</v>
      </c>
      <c r="N45" s="60">
        <f t="shared" si="20"/>
        <v>2030.2255469559605</v>
      </c>
      <c r="O45" s="60"/>
    </row>
    <row r="46" spans="1:16" outlineLevel="1" x14ac:dyDescent="0.3">
      <c r="B46" s="23" t="s">
        <v>56</v>
      </c>
      <c r="J46" s="60">
        <v>0</v>
      </c>
      <c r="K46" s="60">
        <v>0</v>
      </c>
      <c r="L46" s="60">
        <v>0</v>
      </c>
      <c r="M46" s="60">
        <v>0</v>
      </c>
      <c r="N46" s="60">
        <v>0</v>
      </c>
      <c r="O46" s="60"/>
    </row>
    <row r="47" spans="1:16" outlineLevel="1" x14ac:dyDescent="0.3">
      <c r="B47" s="23" t="s">
        <v>57</v>
      </c>
      <c r="J47" s="60">
        <f>J103-I103</f>
        <v>540.14999999999964</v>
      </c>
      <c r="K47" s="60">
        <f t="shared" ref="K47:N47" si="21">K103-J103</f>
        <v>600.46674999999959</v>
      </c>
      <c r="L47" s="60">
        <f t="shared" si="21"/>
        <v>663.82634499999949</v>
      </c>
      <c r="M47" s="60">
        <f t="shared" si="21"/>
        <v>743.24842556249951</v>
      </c>
      <c r="N47" s="60">
        <f t="shared" si="21"/>
        <v>830.0733552759375</v>
      </c>
      <c r="O47" s="60"/>
    </row>
    <row r="48" spans="1:16" ht="15" outlineLevel="1" thickBot="1" x14ac:dyDescent="0.35">
      <c r="B48" s="24" t="s">
        <v>58</v>
      </c>
      <c r="J48" s="44">
        <f>SUM(J40:J47)</f>
        <v>24714.559947287664</v>
      </c>
      <c r="K48" s="44">
        <f t="shared" ref="K48:N48" si="22">SUM(K40:K47)</f>
        <v>28519.346801823158</v>
      </c>
      <c r="L48" s="44">
        <f t="shared" si="22"/>
        <v>32279.661420347249</v>
      </c>
      <c r="M48" s="44">
        <f t="shared" si="22"/>
        <v>36408.146756104201</v>
      </c>
      <c r="N48" s="44">
        <f t="shared" si="22"/>
        <v>40939.289668621292</v>
      </c>
      <c r="O48" s="73"/>
    </row>
    <row r="49" spans="2:15" outlineLevel="1" x14ac:dyDescent="0.3">
      <c r="J49" s="60"/>
      <c r="K49" s="60"/>
      <c r="L49" s="60"/>
      <c r="M49" s="60"/>
      <c r="N49" s="60"/>
    </row>
    <row r="50" spans="2:15" outlineLevel="1" x14ac:dyDescent="0.3">
      <c r="B50" s="20" t="s">
        <v>59</v>
      </c>
      <c r="C50" s="21"/>
      <c r="D50" s="21"/>
      <c r="J50" s="60"/>
      <c r="K50" s="60"/>
      <c r="L50" s="60"/>
      <c r="M50" s="60"/>
      <c r="N50" s="60"/>
    </row>
    <row r="51" spans="2:15" outlineLevel="1" x14ac:dyDescent="0.3">
      <c r="J51" s="60"/>
      <c r="K51" s="60"/>
      <c r="L51" s="60"/>
      <c r="M51" s="60"/>
      <c r="N51" s="60"/>
    </row>
    <row r="52" spans="2:15" outlineLevel="1" x14ac:dyDescent="0.3">
      <c r="B52" t="s">
        <v>60</v>
      </c>
      <c r="J52" s="60">
        <f>-J158</f>
        <v>-7865.8159999999998</v>
      </c>
      <c r="K52" s="60">
        <f t="shared" ref="K52:N52" si="23">-K158</f>
        <v>-9006.3593200000014</v>
      </c>
      <c r="L52" s="60">
        <f t="shared" si="23"/>
        <v>-10267.249624800001</v>
      </c>
      <c r="M52" s="60">
        <f t="shared" si="23"/>
        <v>-11678.99644821</v>
      </c>
      <c r="N52" s="60">
        <f t="shared" si="23"/>
        <v>-13255.660968718352</v>
      </c>
      <c r="O52" s="60"/>
    </row>
    <row r="53" spans="2:15" outlineLevel="1" x14ac:dyDescent="0.3">
      <c r="B53" t="s">
        <v>61</v>
      </c>
      <c r="J53" s="60">
        <f>-(J91-I91)</f>
        <v>0</v>
      </c>
      <c r="K53" s="60">
        <f t="shared" ref="K53:N53" si="24">-(K91-J91)</f>
        <v>0</v>
      </c>
      <c r="L53" s="60">
        <f t="shared" si="24"/>
        <v>0</v>
      </c>
      <c r="M53" s="60">
        <f t="shared" si="24"/>
        <v>0</v>
      </c>
      <c r="N53" s="60">
        <f t="shared" si="24"/>
        <v>0</v>
      </c>
      <c r="O53" s="60"/>
    </row>
    <row r="54" spans="2:15" outlineLevel="1" x14ac:dyDescent="0.3">
      <c r="B54" t="s">
        <v>62</v>
      </c>
      <c r="J54" s="60">
        <f>-(J83-I83)</f>
        <v>-2147.5499999999993</v>
      </c>
      <c r="K54" s="60">
        <f t="shared" ref="K54:N54" si="25">-(K83-J83)</f>
        <v>-2387.3597499999996</v>
      </c>
      <c r="L54" s="60">
        <f t="shared" si="25"/>
        <v>-2639.2673649999997</v>
      </c>
      <c r="M54" s="60">
        <f t="shared" si="25"/>
        <v>-2955.0368533125002</v>
      </c>
      <c r="N54" s="60">
        <f t="shared" si="25"/>
        <v>-3300.2388857221886</v>
      </c>
      <c r="O54" s="60"/>
    </row>
    <row r="55" spans="2:15" outlineLevel="1" x14ac:dyDescent="0.3">
      <c r="B55" t="s">
        <v>63</v>
      </c>
      <c r="J55" s="60">
        <f>-(J92-I92)</f>
        <v>-3718.4999999999964</v>
      </c>
      <c r="K55" s="60">
        <f t="shared" ref="K55:N55" si="26">-(K92-J92)</f>
        <v>-4133.7324999999983</v>
      </c>
      <c r="L55" s="60">
        <f t="shared" si="26"/>
        <v>-4569.9125499999973</v>
      </c>
      <c r="M55" s="60">
        <f t="shared" si="26"/>
        <v>-5116.6699443749967</v>
      </c>
      <c r="N55" s="60">
        <f t="shared" si="26"/>
        <v>-5714.3900242406235</v>
      </c>
      <c r="O55" s="60"/>
    </row>
    <row r="56" spans="2:15" outlineLevel="1" x14ac:dyDescent="0.3">
      <c r="B56" t="s">
        <v>64</v>
      </c>
      <c r="J56" s="60">
        <f>-(J93-I93)</f>
        <v>-1080.4499999999989</v>
      </c>
      <c r="K56" s="60">
        <f t="shared" ref="K56:N56" si="27">-(K93-J93)</f>
        <v>-1201.1002499999995</v>
      </c>
      <c r="L56" s="60">
        <f t="shared" si="27"/>
        <v>-1327.8370349999987</v>
      </c>
      <c r="M56" s="60">
        <f t="shared" si="27"/>
        <v>-1486.7032516874988</v>
      </c>
      <c r="N56" s="60">
        <f t="shared" si="27"/>
        <v>-1660.3772224528129</v>
      </c>
      <c r="O56" s="60"/>
    </row>
    <row r="57" spans="2:15" ht="15" outlineLevel="1" thickBot="1" x14ac:dyDescent="0.35">
      <c r="B57" s="16" t="s">
        <v>65</v>
      </c>
      <c r="J57" s="44">
        <f>SUM(J52:J56)</f>
        <v>-14812.315999999993</v>
      </c>
      <c r="K57" s="44">
        <f t="shared" ref="K57:N57" si="28">SUM(K52:K56)</f>
        <v>-16728.551820000001</v>
      </c>
      <c r="L57" s="44">
        <f t="shared" si="28"/>
        <v>-18804.266574799993</v>
      </c>
      <c r="M57" s="44">
        <f t="shared" si="28"/>
        <v>-21237.406497584998</v>
      </c>
      <c r="N57" s="44">
        <f t="shared" si="28"/>
        <v>-23930.667101133979</v>
      </c>
      <c r="O57" s="73"/>
    </row>
    <row r="58" spans="2:15" outlineLevel="1" x14ac:dyDescent="0.3"/>
    <row r="59" spans="2:15" outlineLevel="1" x14ac:dyDescent="0.3">
      <c r="B59" s="20" t="s">
        <v>66</v>
      </c>
      <c r="C59" s="21"/>
      <c r="D59" s="21"/>
    </row>
    <row r="60" spans="2:15" outlineLevel="1" x14ac:dyDescent="0.3"/>
    <row r="61" spans="2:15" outlineLevel="1" x14ac:dyDescent="0.3">
      <c r="B61" t="s">
        <v>67</v>
      </c>
      <c r="J61" s="60">
        <f>J102-I102</f>
        <v>386.84999999999991</v>
      </c>
      <c r="K61" s="60">
        <f t="shared" ref="K61:N61" si="29">K102-J102</f>
        <v>430.04824999999983</v>
      </c>
      <c r="L61" s="60">
        <f t="shared" si="29"/>
        <v>475.42575499999975</v>
      </c>
      <c r="M61" s="60">
        <f t="shared" si="29"/>
        <v>532.30705068750012</v>
      </c>
      <c r="N61" s="60">
        <f t="shared" si="29"/>
        <v>594.49019251781283</v>
      </c>
      <c r="O61" s="60"/>
    </row>
    <row r="62" spans="2:15" outlineLevel="1" x14ac:dyDescent="0.3">
      <c r="B62" t="s">
        <v>68</v>
      </c>
      <c r="J62" s="60">
        <f>J107-I107</f>
        <v>-1000</v>
      </c>
      <c r="K62" s="60">
        <f t="shared" ref="K62:N62" si="30">K107-J107</f>
        <v>-1000</v>
      </c>
      <c r="L62" s="60">
        <f t="shared" si="30"/>
        <v>-1000</v>
      </c>
      <c r="M62" s="60">
        <f t="shared" si="30"/>
        <v>-1000</v>
      </c>
      <c r="N62" s="60">
        <f t="shared" si="30"/>
        <v>-1000</v>
      </c>
      <c r="O62" s="60"/>
    </row>
    <row r="63" spans="2:15" outlineLevel="1" x14ac:dyDescent="0.3">
      <c r="B63" t="s">
        <v>135</v>
      </c>
      <c r="J63" s="60">
        <f>J108-I108</f>
        <v>548.54999999999927</v>
      </c>
      <c r="K63" s="60">
        <f t="shared" ref="K63:N63" si="31">K108-J108</f>
        <v>609.80475000000024</v>
      </c>
      <c r="L63" s="60">
        <f t="shared" si="31"/>
        <v>674.14966499999991</v>
      </c>
      <c r="M63" s="60">
        <f t="shared" si="31"/>
        <v>754.80685706250006</v>
      </c>
      <c r="N63" s="60">
        <f t="shared" si="31"/>
        <v>842.98202172843776</v>
      </c>
      <c r="O63" s="60"/>
    </row>
    <row r="64" spans="2:15" outlineLevel="1" x14ac:dyDescent="0.3">
      <c r="B64" t="s">
        <v>69</v>
      </c>
      <c r="J64" s="60">
        <f>J112-I112</f>
        <v>0</v>
      </c>
      <c r="K64" s="60">
        <f t="shared" ref="K64:N64" si="32">K112-J112</f>
        <v>0</v>
      </c>
      <c r="L64" s="60">
        <f t="shared" si="32"/>
        <v>0</v>
      </c>
      <c r="M64" s="60">
        <f t="shared" si="32"/>
        <v>0</v>
      </c>
      <c r="N64" s="60">
        <f t="shared" si="32"/>
        <v>0</v>
      </c>
      <c r="O64" s="60"/>
    </row>
    <row r="65" spans="1:16" outlineLevel="1" x14ac:dyDescent="0.3">
      <c r="B65" t="s">
        <v>134</v>
      </c>
      <c r="J65" s="60">
        <f>J233</f>
        <v>-1971.4587351428563</v>
      </c>
      <c r="K65" s="60">
        <f t="shared" ref="K65:N65" si="33">K233</f>
        <v>-2302.9621072778573</v>
      </c>
      <c r="L65" s="60">
        <f t="shared" si="33"/>
        <v>-2656.8606374372566</v>
      </c>
      <c r="M65" s="60">
        <f t="shared" si="33"/>
        <v>-3041.4013350418568</v>
      </c>
      <c r="N65" s="60">
        <f t="shared" si="33"/>
        <v>-3457.837724883223</v>
      </c>
      <c r="O65" s="60"/>
    </row>
    <row r="66" spans="1:16" ht="15" outlineLevel="1" thickBot="1" x14ac:dyDescent="0.35">
      <c r="B66" s="16" t="s">
        <v>70</v>
      </c>
      <c r="J66" s="44">
        <f>SUM(J61:J65)</f>
        <v>-2036.0587351428571</v>
      </c>
      <c r="K66" s="44">
        <f>SUM(K61:K65)</f>
        <v>-2263.1091072778572</v>
      </c>
      <c r="L66" s="44">
        <f>SUM(L61:L65)</f>
        <v>-2507.285217437257</v>
      </c>
      <c r="M66" s="44">
        <f>SUM(M61:M65)</f>
        <v>-2754.2874272918566</v>
      </c>
      <c r="N66" s="44">
        <f>SUM(N61:N65)</f>
        <v>-3020.3655106369724</v>
      </c>
      <c r="O66" s="73"/>
    </row>
    <row r="67" spans="1:16" outlineLevel="1" x14ac:dyDescent="0.3"/>
    <row r="68" spans="1:16" outlineLevel="1" x14ac:dyDescent="0.3">
      <c r="B68" t="s">
        <v>71</v>
      </c>
      <c r="J68" s="60">
        <f>I70</f>
        <v>5941</v>
      </c>
      <c r="K68" s="60">
        <f t="shared" ref="K68:N68" si="34">J70</f>
        <v>13807.185212144814</v>
      </c>
      <c r="L68" s="60">
        <f t="shared" si="34"/>
        <v>23334.871086690113</v>
      </c>
      <c r="M68" s="60">
        <f t="shared" si="34"/>
        <v>34302.980714800113</v>
      </c>
      <c r="N68" s="60">
        <f t="shared" si="34"/>
        <v>46719.43354602746</v>
      </c>
    </row>
    <row r="69" spans="1:16" outlineLevel="1" x14ac:dyDescent="0.3">
      <c r="B69" t="s">
        <v>72</v>
      </c>
      <c r="J69" s="60">
        <f>SUM(J48,J57,J66)</f>
        <v>7866.1852121448137</v>
      </c>
      <c r="K69" s="60">
        <f>SUM(K48,K57,K66)</f>
        <v>9527.6858745452992</v>
      </c>
      <c r="L69" s="60">
        <f>SUM(L48,L57,L66)</f>
        <v>10968.10962811</v>
      </c>
      <c r="M69" s="60">
        <f>SUM(M48,M57,M66)</f>
        <v>12416.452831227347</v>
      </c>
      <c r="N69" s="60">
        <f>SUM(N48,N57,N66)</f>
        <v>13988.25705685034</v>
      </c>
    </row>
    <row r="70" spans="1:16" ht="15" outlineLevel="1" thickBot="1" x14ac:dyDescent="0.35">
      <c r="B70" s="16" t="s">
        <v>73</v>
      </c>
      <c r="I70" s="99">
        <f>I82</f>
        <v>5941</v>
      </c>
      <c r="J70" s="44">
        <f>SUM(J68:J69)</f>
        <v>13807.185212144814</v>
      </c>
      <c r="K70" s="44">
        <f t="shared" ref="K70:N70" si="35">SUM(K68:K69)</f>
        <v>23334.871086690113</v>
      </c>
      <c r="L70" s="44">
        <f t="shared" si="35"/>
        <v>34302.980714800113</v>
      </c>
      <c r="M70" s="44">
        <f t="shared" si="35"/>
        <v>46719.43354602746</v>
      </c>
      <c r="N70" s="44">
        <f t="shared" si="35"/>
        <v>60707.690602877803</v>
      </c>
      <c r="O70" s="73"/>
    </row>
    <row r="71" spans="1:16" outlineLevel="1" x14ac:dyDescent="0.3"/>
    <row r="72" spans="1:16" outlineLevel="1" x14ac:dyDescent="0.3"/>
    <row r="74" spans="1:16" ht="18" x14ac:dyDescent="0.35">
      <c r="A74" t="s">
        <v>145</v>
      </c>
      <c r="B74" s="15" t="s">
        <v>18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</row>
    <row r="75" spans="1:16" outlineLevel="1" x14ac:dyDescent="0.3"/>
    <row r="76" spans="1:16" outlineLevel="1" x14ac:dyDescent="0.3">
      <c r="B76" s="17" t="s">
        <v>216</v>
      </c>
      <c r="H76" s="18">
        <v>2024</v>
      </c>
      <c r="I76" s="18">
        <f>H76 + 1</f>
        <v>2025</v>
      </c>
      <c r="J76" s="19">
        <f t="shared" ref="J76" si="36">I76 + 1</f>
        <v>2026</v>
      </c>
      <c r="K76" s="19">
        <f t="shared" ref="K76" si="37">J76 + 1</f>
        <v>2027</v>
      </c>
      <c r="L76" s="19">
        <f t="shared" ref="L76" si="38">K76 + 1</f>
        <v>2028</v>
      </c>
      <c r="M76" s="19">
        <f t="shared" ref="M76" si="39">L76 + 1</f>
        <v>2029</v>
      </c>
      <c r="N76" s="19">
        <f t="shared" ref="N76" si="40">M76 + 1</f>
        <v>2030</v>
      </c>
      <c r="O76" s="105"/>
    </row>
    <row r="77" spans="1:16" outlineLevel="1" x14ac:dyDescent="0.3">
      <c r="B77" s="17" t="str">
        <f>_xlfn.CONCAT("Model Currently Running:", " ", INDEX(Inputs!$B$15:$B$17, Inputs!$F$8), " ", "Scenario")</f>
        <v>Model Currently Running: Base Case Scenario</v>
      </c>
      <c r="H77" s="41"/>
      <c r="I77" s="41"/>
      <c r="J77" s="41"/>
      <c r="K77" s="41"/>
      <c r="L77" s="41"/>
      <c r="M77" s="41"/>
      <c r="N77" s="41"/>
    </row>
    <row r="78" spans="1:16" outlineLevel="1" x14ac:dyDescent="0.3">
      <c r="B78" s="17"/>
      <c r="H78" s="41"/>
      <c r="I78" s="41"/>
      <c r="J78" s="41"/>
      <c r="K78" s="41"/>
      <c r="L78" s="41"/>
      <c r="M78" s="41"/>
      <c r="N78" s="41"/>
    </row>
    <row r="79" spans="1:16" outlineLevel="1" x14ac:dyDescent="0.3">
      <c r="B79" s="20" t="s">
        <v>19</v>
      </c>
      <c r="C79" s="21"/>
      <c r="D79" s="21"/>
      <c r="H79" s="41"/>
      <c r="I79" s="41"/>
      <c r="J79" s="41"/>
      <c r="K79" s="41"/>
      <c r="L79" s="41"/>
      <c r="M79" s="41"/>
      <c r="N79" s="41"/>
    </row>
    <row r="80" spans="1:16" outlineLevel="1" x14ac:dyDescent="0.3">
      <c r="H80" s="41"/>
      <c r="I80" s="41"/>
      <c r="J80" s="41"/>
      <c r="K80" s="41"/>
      <c r="L80" s="41"/>
      <c r="M80" s="41"/>
      <c r="N80" s="41"/>
    </row>
    <row r="81" spans="2:18" outlineLevel="1" x14ac:dyDescent="0.3">
      <c r="B81" s="16" t="s">
        <v>20</v>
      </c>
      <c r="H81" s="41"/>
      <c r="I81" s="41"/>
      <c r="J81" s="41"/>
      <c r="K81" s="41"/>
      <c r="L81" s="41"/>
      <c r="M81" s="41"/>
      <c r="N81" s="41"/>
    </row>
    <row r="82" spans="2:18" outlineLevel="1" x14ac:dyDescent="0.3">
      <c r="B82" s="22" t="s">
        <v>21</v>
      </c>
      <c r="H82" s="40">
        <f>2761+661</f>
        <v>3422</v>
      </c>
      <c r="I82" s="40">
        <f>2332+3609</f>
        <v>5941</v>
      </c>
      <c r="J82" s="41">
        <f>J70</f>
        <v>13807.185212144814</v>
      </c>
      <c r="K82" s="41">
        <f t="shared" ref="K82:N82" si="41">K70</f>
        <v>23334.871086690113</v>
      </c>
      <c r="L82" s="41">
        <f t="shared" si="41"/>
        <v>34302.980714800113</v>
      </c>
      <c r="M82" s="41">
        <f t="shared" si="41"/>
        <v>46719.43354602746</v>
      </c>
      <c r="N82" s="41">
        <f t="shared" si="41"/>
        <v>60707.690602877803</v>
      </c>
      <c r="O82" s="41"/>
    </row>
    <row r="83" spans="2:18" outlineLevel="1" x14ac:dyDescent="0.3">
      <c r="B83" s="22" t="s">
        <v>22</v>
      </c>
      <c r="H83" s="40">
        <v>6835</v>
      </c>
      <c r="I83" s="40">
        <v>14317</v>
      </c>
      <c r="J83" s="41">
        <f>I83*(1+Inputs!H13)</f>
        <v>16464.55</v>
      </c>
      <c r="K83" s="41">
        <f>J83*(1+Inputs!I13)</f>
        <v>18851.909749999999</v>
      </c>
      <c r="L83" s="41">
        <f>K83*(1+Inputs!J13)</f>
        <v>21491.177114999999</v>
      </c>
      <c r="M83" s="41">
        <f>L83*(1+Inputs!K13)</f>
        <v>24446.213968312499</v>
      </c>
      <c r="N83" s="41">
        <f>M83*(1+Inputs!L13)</f>
        <v>27746.452854034687</v>
      </c>
      <c r="O83" s="41"/>
    </row>
    <row r="84" spans="2:18" outlineLevel="1" x14ac:dyDescent="0.3">
      <c r="B84" s="22" t="s">
        <v>23</v>
      </c>
      <c r="H84" s="40">
        <v>8083</v>
      </c>
      <c r="I84" s="40">
        <v>8148</v>
      </c>
      <c r="J84" s="41">
        <f>J139</f>
        <v>9428.2041095890399</v>
      </c>
      <c r="K84" s="41">
        <f t="shared" ref="K84:N84" si="42">K139</f>
        <v>10795.293705479451</v>
      </c>
      <c r="L84" s="41">
        <f t="shared" si="42"/>
        <v>12306.634824246574</v>
      </c>
      <c r="M84" s="41">
        <f t="shared" si="42"/>
        <v>13998.79711258048</v>
      </c>
      <c r="N84" s="41">
        <f t="shared" si="42"/>
        <v>15888.634722778845</v>
      </c>
      <c r="O84" s="41"/>
    </row>
    <row r="85" spans="2:18" outlineLevel="1" x14ac:dyDescent="0.3">
      <c r="B85" s="22" t="s">
        <v>24</v>
      </c>
      <c r="H85" s="40">
        <v>1187</v>
      </c>
      <c r="I85" s="40">
        <v>1266</v>
      </c>
      <c r="J85" s="41">
        <f>J140</f>
        <v>1346.8863013698628</v>
      </c>
      <c r="K85" s="41">
        <f t="shared" ref="K85:N85" si="43">K140</f>
        <v>1557.606663219178</v>
      </c>
      <c r="L85" s="41">
        <f t="shared" si="43"/>
        <v>1793.2525029616436</v>
      </c>
      <c r="M85" s="41">
        <f t="shared" si="43"/>
        <v>2059.8230037082703</v>
      </c>
      <c r="N85" s="41">
        <f t="shared" si="43"/>
        <v>2360.5971588128568</v>
      </c>
      <c r="O85" s="41"/>
    </row>
    <row r="86" spans="2:18" outlineLevel="1" x14ac:dyDescent="0.3">
      <c r="B86" s="22" t="s">
        <v>25</v>
      </c>
      <c r="H86" s="40">
        <f>791+13673+878+1882</f>
        <v>17224</v>
      </c>
      <c r="I86" s="40">
        <f>221+1723+1080+2488</f>
        <v>5512</v>
      </c>
      <c r="J86" s="41">
        <f>I86*(1+Inputs!H13)</f>
        <v>6338.7999999999993</v>
      </c>
      <c r="K86" s="41">
        <f>J86*(1+Inputs!I13)</f>
        <v>7257.9259999999995</v>
      </c>
      <c r="L86" s="41">
        <f>K86*(1+Inputs!J13)</f>
        <v>8274.0356399999982</v>
      </c>
      <c r="M86" s="41">
        <f>L86*(1+Inputs!K13)</f>
        <v>9411.7155404999976</v>
      </c>
      <c r="N86" s="41">
        <f>M86*(1+Inputs!L13)</f>
        <v>10682.297138467497</v>
      </c>
      <c r="O86" s="41"/>
    </row>
    <row r="87" spans="2:18" outlineLevel="1" x14ac:dyDescent="0.3">
      <c r="B87" s="16" t="s">
        <v>26</v>
      </c>
      <c r="H87" s="42">
        <f>SUM(H82:H86)</f>
        <v>36751</v>
      </c>
      <c r="I87" s="42">
        <f>SUM(I82:I86)</f>
        <v>35184</v>
      </c>
      <c r="J87" s="42">
        <f t="shared" ref="J87:N87" si="44">SUM(J82:J86)</f>
        <v>47385.625623103711</v>
      </c>
      <c r="K87" s="42">
        <f t="shared" si="44"/>
        <v>61797.607205388747</v>
      </c>
      <c r="L87" s="42">
        <f t="shared" si="44"/>
        <v>78168.080797008326</v>
      </c>
      <c r="M87" s="42">
        <f t="shared" si="44"/>
        <v>96635.983171128697</v>
      </c>
      <c r="N87" s="42">
        <f t="shared" si="44"/>
        <v>117385.6724769717</v>
      </c>
      <c r="O87" s="73"/>
    </row>
    <row r="88" spans="2:18" outlineLevel="1" x14ac:dyDescent="0.3">
      <c r="H88" s="41"/>
      <c r="I88" s="41"/>
      <c r="J88" s="41"/>
      <c r="K88" s="41"/>
      <c r="L88" s="41"/>
      <c r="M88" s="41"/>
      <c r="N88" s="41"/>
      <c r="O88" s="41"/>
    </row>
    <row r="89" spans="2:18" outlineLevel="1" x14ac:dyDescent="0.3">
      <c r="B89" s="24" t="s">
        <v>27</v>
      </c>
      <c r="H89" s="41"/>
      <c r="I89" s="41"/>
      <c r="J89" s="41"/>
      <c r="K89" s="41"/>
      <c r="L89" s="41"/>
      <c r="M89" s="41"/>
      <c r="N89" s="41"/>
      <c r="O89" s="41"/>
    </row>
    <row r="90" spans="2:18" outlineLevel="1" x14ac:dyDescent="0.3">
      <c r="B90" s="22" t="s">
        <v>28</v>
      </c>
      <c r="H90" s="40">
        <f>47096+12612+1725</f>
        <v>61433</v>
      </c>
      <c r="I90" s="40">
        <f>49105+13285+2940</f>
        <v>65330</v>
      </c>
      <c r="J90" s="41">
        <f>J202</f>
        <v>63469.668057142859</v>
      </c>
      <c r="K90" s="41">
        <f t="shared" ref="K90:N90" si="45">K202</f>
        <v>61906.270668285717</v>
      </c>
      <c r="L90" s="41">
        <f t="shared" si="45"/>
        <v>60640.083136988578</v>
      </c>
      <c r="M90" s="41">
        <f t="shared" si="45"/>
        <v>59688.330125450928</v>
      </c>
      <c r="N90" s="41">
        <f t="shared" si="45"/>
        <v>59066.508763575221</v>
      </c>
      <c r="O90" s="41"/>
      <c r="R90" s="60"/>
    </row>
    <row r="91" spans="2:18" outlineLevel="1" x14ac:dyDescent="0.3">
      <c r="B91" s="22" t="s">
        <v>29</v>
      </c>
      <c r="H91" s="40">
        <f>608+272</f>
        <v>880</v>
      </c>
      <c r="I91" s="40">
        <f>1091+125</f>
        <v>1216</v>
      </c>
      <c r="J91" s="41">
        <f>I91</f>
        <v>1216</v>
      </c>
      <c r="K91" s="41">
        <f t="shared" ref="K91:N91" si="46">J91</f>
        <v>1216</v>
      </c>
      <c r="L91" s="41">
        <f t="shared" si="46"/>
        <v>1216</v>
      </c>
      <c r="M91" s="41">
        <f t="shared" si="46"/>
        <v>1216</v>
      </c>
      <c r="N91" s="41">
        <f t="shared" si="46"/>
        <v>1216</v>
      </c>
      <c r="O91" s="41"/>
    </row>
    <row r="92" spans="2:18" outlineLevel="1" x14ac:dyDescent="0.3">
      <c r="B92" s="22" t="s">
        <v>30</v>
      </c>
      <c r="H92" s="40">
        <f>19377</f>
        <v>19377</v>
      </c>
      <c r="I92" s="40">
        <v>24790</v>
      </c>
      <c r="J92" s="41">
        <f>I92*(1+Inputs!H13)</f>
        <v>28508.499999999996</v>
      </c>
      <c r="K92" s="41">
        <f>J92*(1+Inputs!I13)</f>
        <v>32642.232499999995</v>
      </c>
      <c r="L92" s="41">
        <f>K92*(1+Inputs!J13)</f>
        <v>37212.145049999992</v>
      </c>
      <c r="M92" s="41">
        <f>L92*(1+Inputs!K13)</f>
        <v>42328.814994374989</v>
      </c>
      <c r="N92" s="41">
        <f>M92*(1+Inputs!L13)</f>
        <v>48043.205018615612</v>
      </c>
      <c r="O92" s="41"/>
    </row>
    <row r="93" spans="2:18" outlineLevel="1" x14ac:dyDescent="0.3">
      <c r="B93" s="22" t="s">
        <v>31</v>
      </c>
      <c r="H93" s="40">
        <f>2446+1789+729+647</f>
        <v>5611</v>
      </c>
      <c r="I93" s="40">
        <f>4291+1530+290+1092</f>
        <v>7203</v>
      </c>
      <c r="J93" s="41">
        <f>I93 *(1+ Inputs!H13)</f>
        <v>8283.4499999999989</v>
      </c>
      <c r="K93" s="41">
        <f>J93 *(1+ Inputs!I13)</f>
        <v>9484.5502499999984</v>
      </c>
      <c r="L93" s="41">
        <f>K93 *(1+ Inputs!J13)</f>
        <v>10812.387284999997</v>
      </c>
      <c r="M93" s="41">
        <f>L93 *(1+ Inputs!K13)</f>
        <v>12299.090536687496</v>
      </c>
      <c r="N93" s="41">
        <f>M93 *(1+ Inputs!L13)</f>
        <v>13959.467759140309</v>
      </c>
      <c r="O93" s="41"/>
    </row>
    <row r="94" spans="2:18" outlineLevel="1" x14ac:dyDescent="0.3">
      <c r="B94" s="16" t="s">
        <v>32</v>
      </c>
      <c r="H94" s="42">
        <f>SUM(H90:H93)</f>
        <v>87301</v>
      </c>
      <c r="I94" s="42">
        <f>SUM(I90:I93)</f>
        <v>98539</v>
      </c>
      <c r="J94" s="42">
        <f t="shared" ref="J94:N94" si="47">SUM(J90:J93)</f>
        <v>101477.61805714286</v>
      </c>
      <c r="K94" s="42">
        <f t="shared" si="47"/>
        <v>105249.05341828571</v>
      </c>
      <c r="L94" s="42">
        <f t="shared" si="47"/>
        <v>109880.61547198857</v>
      </c>
      <c r="M94" s="42">
        <f t="shared" si="47"/>
        <v>115532.23565651341</v>
      </c>
      <c r="N94" s="42">
        <f t="shared" si="47"/>
        <v>122285.18154133114</v>
      </c>
      <c r="O94" s="73"/>
    </row>
    <row r="95" spans="2:18" outlineLevel="1" x14ac:dyDescent="0.3">
      <c r="H95" s="41"/>
      <c r="I95" s="41"/>
      <c r="J95" s="41"/>
      <c r="K95" s="41"/>
      <c r="L95" s="41"/>
      <c r="M95" s="41"/>
      <c r="N95" s="41"/>
      <c r="O95" s="41"/>
    </row>
    <row r="96" spans="2:18" ht="15" outlineLevel="1" thickBot="1" x14ac:dyDescent="0.35">
      <c r="B96" s="24" t="s">
        <v>33</v>
      </c>
      <c r="H96" s="44">
        <f>H87+H94</f>
        <v>124052</v>
      </c>
      <c r="I96" s="44">
        <f>I87+I94</f>
        <v>133723</v>
      </c>
      <c r="J96" s="44">
        <f t="shared" ref="J96:N96" si="48">J87+J94</f>
        <v>148863.24368024658</v>
      </c>
      <c r="K96" s="44">
        <f t="shared" si="48"/>
        <v>167046.66062367446</v>
      </c>
      <c r="L96" s="44">
        <f t="shared" si="48"/>
        <v>188048.69626899689</v>
      </c>
      <c r="M96" s="44">
        <f t="shared" si="48"/>
        <v>212168.21882764209</v>
      </c>
      <c r="N96" s="44">
        <f t="shared" si="48"/>
        <v>239670.85401830284</v>
      </c>
      <c r="O96" s="73"/>
    </row>
    <row r="97" spans="2:15" outlineLevel="1" x14ac:dyDescent="0.3">
      <c r="H97" s="41"/>
      <c r="I97" s="41"/>
      <c r="J97" s="41"/>
      <c r="K97" s="41"/>
      <c r="L97" s="41"/>
      <c r="M97" s="41"/>
      <c r="N97" s="41"/>
    </row>
    <row r="98" spans="2:15" outlineLevel="1" x14ac:dyDescent="0.3">
      <c r="B98" s="20" t="s">
        <v>34</v>
      </c>
      <c r="C98" s="21"/>
      <c r="D98" s="21"/>
      <c r="H98" s="41"/>
      <c r="I98" s="41"/>
      <c r="J98" s="41"/>
      <c r="K98" s="41"/>
      <c r="L98" s="41"/>
      <c r="M98" s="41"/>
      <c r="N98" s="41"/>
    </row>
    <row r="99" spans="2:15" outlineLevel="1" x14ac:dyDescent="0.3">
      <c r="H99" s="41"/>
      <c r="I99" s="41"/>
      <c r="J99" s="41"/>
      <c r="K99" s="41"/>
      <c r="L99" s="41"/>
      <c r="M99" s="41"/>
      <c r="N99" s="41"/>
    </row>
    <row r="100" spans="2:15" outlineLevel="1" x14ac:dyDescent="0.3">
      <c r="B100" s="16" t="s">
        <v>35</v>
      </c>
      <c r="H100" s="41"/>
      <c r="I100" s="41"/>
      <c r="J100" s="41"/>
      <c r="K100" s="41"/>
      <c r="L100" s="41"/>
      <c r="M100" s="41"/>
      <c r="N100" s="41"/>
    </row>
    <row r="101" spans="2:15" outlineLevel="1" x14ac:dyDescent="0.3">
      <c r="B101" s="22" t="s">
        <v>36</v>
      </c>
      <c r="H101" s="40">
        <f>586+6989</f>
        <v>7575</v>
      </c>
      <c r="I101" s="40">
        <f>627+7600</f>
        <v>8227</v>
      </c>
      <c r="J101" s="41">
        <f>J141</f>
        <v>9091.4825342465738</v>
      </c>
      <c r="K101" s="41">
        <f t="shared" ref="K101:N101" si="49">K141</f>
        <v>10513.844976729453</v>
      </c>
      <c r="L101" s="41">
        <f t="shared" si="49"/>
        <v>12104.454394991095</v>
      </c>
      <c r="M101" s="41">
        <f t="shared" si="49"/>
        <v>13903.805275030825</v>
      </c>
      <c r="N101" s="41">
        <f t="shared" si="49"/>
        <v>15934.030821986786</v>
      </c>
      <c r="O101" s="41"/>
    </row>
    <row r="102" spans="2:15" outlineLevel="1" x14ac:dyDescent="0.3">
      <c r="B102" s="22" t="s">
        <v>37</v>
      </c>
      <c r="H102" s="40">
        <f>1702+1098</f>
        <v>2800</v>
      </c>
      <c r="I102" s="40">
        <f>2297+282</f>
        <v>2579</v>
      </c>
      <c r="J102" s="41">
        <f>I102*(1+Inputs!H13)</f>
        <v>2965.85</v>
      </c>
      <c r="K102" s="41">
        <f>J102*(1+Inputs!I13)</f>
        <v>3395.8982499999997</v>
      </c>
      <c r="L102" s="41">
        <f>K102*(1+Inputs!J13)</f>
        <v>3871.3240049999995</v>
      </c>
      <c r="M102" s="41">
        <f>L102*(1+Inputs!K13)</f>
        <v>4403.6310556874996</v>
      </c>
      <c r="N102" s="41">
        <f>M102*(1+Inputs!L13)</f>
        <v>4998.1212482053124</v>
      </c>
      <c r="O102" s="41"/>
    </row>
    <row r="103" spans="2:15" outlineLevel="1" x14ac:dyDescent="0.3">
      <c r="B103" s="22" t="s">
        <v>38</v>
      </c>
      <c r="H103" s="40">
        <f>(1236+1078+1013)</f>
        <v>3327</v>
      </c>
      <c r="I103" s="40">
        <f>(1002+1323+1276)</f>
        <v>3601</v>
      </c>
      <c r="J103" s="41">
        <f>I103*(1+Inputs!H13)</f>
        <v>4141.1499999999996</v>
      </c>
      <c r="K103" s="41">
        <f>J103*(1+Inputs!I13)</f>
        <v>4741.6167499999992</v>
      </c>
      <c r="L103" s="41">
        <f>K103*(1+Inputs!J13)</f>
        <v>5405.4430949999987</v>
      </c>
      <c r="M103" s="41">
        <f>L103*(1+Inputs!K13)</f>
        <v>6148.6915205624982</v>
      </c>
      <c r="N103" s="41">
        <f>M103*(1+Inputs!L13)</f>
        <v>6978.7648758384357</v>
      </c>
      <c r="O103" s="41"/>
    </row>
    <row r="104" spans="2:15" outlineLevel="1" x14ac:dyDescent="0.3">
      <c r="B104" s="16" t="s">
        <v>39</v>
      </c>
      <c r="H104" s="42">
        <f>SUM(H101:H103)</f>
        <v>13702</v>
      </c>
      <c r="I104" s="42">
        <f>SUM(I101:I103)</f>
        <v>14407</v>
      </c>
      <c r="J104" s="42">
        <f t="shared" ref="J104:N104" si="50">SUM(J101:J103)</f>
        <v>16198.482534246574</v>
      </c>
      <c r="K104" s="42">
        <f t="shared" si="50"/>
        <v>18651.359976729451</v>
      </c>
      <c r="L104" s="42">
        <f t="shared" si="50"/>
        <v>21381.221494991092</v>
      </c>
      <c r="M104" s="42">
        <f t="shared" si="50"/>
        <v>24456.12785128082</v>
      </c>
      <c r="N104" s="42">
        <f t="shared" si="50"/>
        <v>27910.916946030531</v>
      </c>
      <c r="O104" s="73"/>
    </row>
    <row r="105" spans="2:15" outlineLevel="1" x14ac:dyDescent="0.3">
      <c r="H105" s="41"/>
      <c r="I105" s="41"/>
      <c r="J105" s="41"/>
      <c r="K105" s="41"/>
      <c r="L105" s="41"/>
      <c r="M105" s="41"/>
      <c r="N105" s="41"/>
      <c r="O105" s="41"/>
    </row>
    <row r="106" spans="2:15" outlineLevel="1" x14ac:dyDescent="0.3">
      <c r="B106" s="24" t="s">
        <v>40</v>
      </c>
      <c r="H106" s="41"/>
      <c r="I106" s="41"/>
      <c r="J106" s="41"/>
      <c r="K106" s="41"/>
      <c r="L106" s="41"/>
      <c r="M106" s="41"/>
      <c r="N106" s="41"/>
      <c r="O106" s="41"/>
    </row>
    <row r="107" spans="2:15" outlineLevel="1" x14ac:dyDescent="0.3">
      <c r="B107" s="23" t="s">
        <v>41</v>
      </c>
      <c r="H107" s="40">
        <f>17855+11563</f>
        <v>29418</v>
      </c>
      <c r="I107" s="40">
        <f>15535+12782</f>
        <v>28317</v>
      </c>
      <c r="J107" s="41">
        <f>J213</f>
        <v>27317</v>
      </c>
      <c r="K107" s="41">
        <f t="shared" ref="K107:N107" si="51">K213</f>
        <v>26317</v>
      </c>
      <c r="L107" s="41">
        <f t="shared" si="51"/>
        <v>25317</v>
      </c>
      <c r="M107" s="41">
        <f t="shared" si="51"/>
        <v>24317</v>
      </c>
      <c r="N107" s="41">
        <f t="shared" si="51"/>
        <v>23317</v>
      </c>
      <c r="O107" s="41"/>
    </row>
    <row r="108" spans="2:15" outlineLevel="1" x14ac:dyDescent="0.3">
      <c r="B108" s="23" t="s">
        <v>42</v>
      </c>
      <c r="H108" s="40">
        <f>23+3764+36</f>
        <v>3823</v>
      </c>
      <c r="I108" s="40">
        <f>12+3632+13</f>
        <v>3657</v>
      </c>
      <c r="J108" s="41">
        <f>I108*(1+Inputs!H13)</f>
        <v>4205.5499999999993</v>
      </c>
      <c r="K108" s="41">
        <f>J108*(1+Inputs!I13)</f>
        <v>4815.3547499999995</v>
      </c>
      <c r="L108" s="41">
        <f>K108*(1+Inputs!J13)</f>
        <v>5489.5044149999994</v>
      </c>
      <c r="M108" s="41">
        <f>L108*(1+Inputs!K13)</f>
        <v>6244.3112720624995</v>
      </c>
      <c r="N108" s="41">
        <f>M108*(1+Inputs!L13)</f>
        <v>7087.2932937909372</v>
      </c>
      <c r="O108" s="41"/>
    </row>
    <row r="109" spans="2:15" outlineLevel="1" x14ac:dyDescent="0.3">
      <c r="B109" s="16" t="s">
        <v>43</v>
      </c>
      <c r="H109" s="42">
        <f>SUM(H107:H108)</f>
        <v>33241</v>
      </c>
      <c r="I109" s="42">
        <f>SUM(I107:I108)</f>
        <v>31974</v>
      </c>
      <c r="J109" s="42">
        <f t="shared" ref="J109:N109" si="52">SUM(J107:J108)</f>
        <v>31522.55</v>
      </c>
      <c r="K109" s="42">
        <f t="shared" si="52"/>
        <v>31132.354749999999</v>
      </c>
      <c r="L109" s="42">
        <f t="shared" si="52"/>
        <v>30806.504414999999</v>
      </c>
      <c r="M109" s="42">
        <f t="shared" si="52"/>
        <v>30561.311272062499</v>
      </c>
      <c r="N109" s="42">
        <f t="shared" si="52"/>
        <v>30404.293293790935</v>
      </c>
      <c r="O109" s="73"/>
    </row>
    <row r="110" spans="2:15" outlineLevel="1" x14ac:dyDescent="0.3">
      <c r="H110" s="41"/>
      <c r="I110" s="41"/>
      <c r="J110" s="41"/>
      <c r="K110" s="41"/>
      <c r="L110" s="41"/>
      <c r="M110" s="41"/>
      <c r="N110" s="41"/>
      <c r="O110" s="41"/>
    </row>
    <row r="111" spans="2:15" outlineLevel="1" x14ac:dyDescent="0.3">
      <c r="B111" s="16" t="s">
        <v>44</v>
      </c>
      <c r="H111" s="41"/>
      <c r="I111" s="41"/>
      <c r="J111" s="41"/>
      <c r="K111" s="41"/>
      <c r="L111" s="41"/>
      <c r="M111" s="41"/>
      <c r="N111" s="41"/>
      <c r="O111" s="41"/>
    </row>
    <row r="112" spans="2:15" outlineLevel="1" x14ac:dyDescent="0.3">
      <c r="B112" s="22" t="s">
        <v>45</v>
      </c>
      <c r="H112" s="40">
        <v>719</v>
      </c>
      <c r="I112" s="40">
        <v>719</v>
      </c>
      <c r="J112" s="41">
        <f>I112</f>
        <v>719</v>
      </c>
      <c r="K112" s="41">
        <f t="shared" ref="K112:N112" si="53">J112</f>
        <v>719</v>
      </c>
      <c r="L112" s="41">
        <f t="shared" si="53"/>
        <v>719</v>
      </c>
      <c r="M112" s="41">
        <f t="shared" si="53"/>
        <v>719</v>
      </c>
      <c r="N112" s="41">
        <f t="shared" si="53"/>
        <v>719</v>
      </c>
      <c r="O112" s="41"/>
    </row>
    <row r="113" spans="1:16" outlineLevel="1" x14ac:dyDescent="0.3">
      <c r="B113" s="22" t="s">
        <v>46</v>
      </c>
      <c r="H113" s="40">
        <v>76390</v>
      </c>
      <c r="I113" s="40">
        <v>86623</v>
      </c>
      <c r="J113" s="41">
        <f>J234</f>
        <v>100423.21114599999</v>
      </c>
      <c r="K113" s="41">
        <f t="shared" ref="K113:N113" si="54">K234</f>
        <v>116543.94589694499</v>
      </c>
      <c r="L113" s="41">
        <f t="shared" si="54"/>
        <v>135141.97035900579</v>
      </c>
      <c r="M113" s="41">
        <f t="shared" si="54"/>
        <v>156431.77970429879</v>
      </c>
      <c r="N113" s="41">
        <f t="shared" si="54"/>
        <v>180636.64377848135</v>
      </c>
      <c r="O113" s="41"/>
    </row>
    <row r="114" spans="1:16" outlineLevel="1" x14ac:dyDescent="0.3">
      <c r="B114" s="16" t="s">
        <v>47</v>
      </c>
      <c r="C114" s="16"/>
      <c r="H114" s="42">
        <f>SUM(H112:H113)</f>
        <v>77109</v>
      </c>
      <c r="I114" s="42">
        <f t="shared" ref="I114:N114" si="55">SUM(I112:I113)</f>
        <v>87342</v>
      </c>
      <c r="J114" s="42">
        <f t="shared" si="55"/>
        <v>101142.21114599999</v>
      </c>
      <c r="K114" s="42">
        <f t="shared" si="55"/>
        <v>117262.94589694499</v>
      </c>
      <c r="L114" s="42">
        <f t="shared" si="55"/>
        <v>135860.97035900579</v>
      </c>
      <c r="M114" s="42">
        <f t="shared" si="55"/>
        <v>157150.77970429879</v>
      </c>
      <c r="N114" s="42">
        <f t="shared" si="55"/>
        <v>181355.64377848135</v>
      </c>
      <c r="O114" s="73"/>
    </row>
    <row r="115" spans="1:16" outlineLevel="1" x14ac:dyDescent="0.3">
      <c r="H115" s="41"/>
      <c r="I115" s="41"/>
      <c r="J115" s="41"/>
      <c r="K115" s="41"/>
      <c r="L115" s="41"/>
      <c r="M115" s="41"/>
      <c r="N115" s="41"/>
      <c r="O115" s="41"/>
    </row>
    <row r="116" spans="1:16" ht="15" outlineLevel="1" thickBot="1" x14ac:dyDescent="0.35">
      <c r="B116" s="24" t="s">
        <v>48</v>
      </c>
      <c r="H116" s="44">
        <f>SUM(H104,H109,H114)</f>
        <v>124052</v>
      </c>
      <c r="I116" s="44">
        <f t="shared" ref="I116:N116" si="56">SUM(I104,I109,I114)</f>
        <v>133723</v>
      </c>
      <c r="J116" s="44">
        <f t="shared" si="56"/>
        <v>148863.24368024655</v>
      </c>
      <c r="K116" s="44">
        <f t="shared" si="56"/>
        <v>167046.66062367446</v>
      </c>
      <c r="L116" s="44">
        <f t="shared" si="56"/>
        <v>188048.69626899686</v>
      </c>
      <c r="M116" s="44">
        <f t="shared" si="56"/>
        <v>212168.21882764212</v>
      </c>
      <c r="N116" s="44">
        <f t="shared" si="56"/>
        <v>239670.85401830281</v>
      </c>
      <c r="O116" s="73"/>
    </row>
    <row r="117" spans="1:16" outlineLevel="1" x14ac:dyDescent="0.3">
      <c r="H117" s="41"/>
      <c r="I117" s="41"/>
      <c r="J117" s="41"/>
      <c r="K117" s="41"/>
      <c r="L117" s="41"/>
      <c r="M117" s="41"/>
      <c r="N117" s="41"/>
      <c r="O117" s="41"/>
    </row>
    <row r="118" spans="1:16" outlineLevel="1" x14ac:dyDescent="0.3">
      <c r="H118" s="41"/>
      <c r="I118" s="41"/>
      <c r="J118" s="41"/>
      <c r="K118" s="41"/>
      <c r="L118" s="41"/>
      <c r="M118" s="41"/>
      <c r="N118" s="41"/>
      <c r="O118" s="41"/>
    </row>
    <row r="119" spans="1:16" outlineLevel="1" x14ac:dyDescent="0.3">
      <c r="B119" s="16" t="s">
        <v>74</v>
      </c>
      <c r="H119" s="45">
        <f>H96-H116</f>
        <v>0</v>
      </c>
      <c r="I119" s="46">
        <f t="shared" ref="I119:N119" si="57">I96-I116</f>
        <v>0</v>
      </c>
      <c r="J119" s="46">
        <f t="shared" si="57"/>
        <v>0</v>
      </c>
      <c r="K119" s="46">
        <f t="shared" si="57"/>
        <v>0</v>
      </c>
      <c r="L119" s="46">
        <f t="shared" si="57"/>
        <v>0</v>
      </c>
      <c r="M119" s="46">
        <f t="shared" si="57"/>
        <v>0</v>
      </c>
      <c r="N119" s="46">
        <f t="shared" si="57"/>
        <v>0</v>
      </c>
      <c r="O119" s="73"/>
    </row>
    <row r="120" spans="1:16" outlineLevel="1" x14ac:dyDescent="0.3">
      <c r="E120" s="60"/>
      <c r="H120" s="41"/>
      <c r="I120" s="41"/>
      <c r="J120" s="41"/>
      <c r="K120" s="41"/>
      <c r="L120" s="41"/>
      <c r="M120" s="41"/>
      <c r="N120" s="41"/>
    </row>
    <row r="121" spans="1:16" x14ac:dyDescent="0.3">
      <c r="H121" s="41"/>
      <c r="I121" s="41"/>
      <c r="J121" s="41"/>
      <c r="K121" s="41"/>
      <c r="L121" s="41"/>
      <c r="M121" s="41"/>
      <c r="N121" s="41"/>
    </row>
    <row r="122" spans="1:16" ht="18" x14ac:dyDescent="0.35">
      <c r="A122" t="s">
        <v>145</v>
      </c>
      <c r="B122" s="15" t="s">
        <v>85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</row>
    <row r="123" spans="1:16" outlineLevel="1" x14ac:dyDescent="0.3">
      <c r="H123" s="41"/>
      <c r="I123" s="41"/>
      <c r="J123" s="41"/>
      <c r="K123" s="41"/>
      <c r="L123" s="41"/>
      <c r="M123" s="41"/>
      <c r="N123" s="41"/>
    </row>
    <row r="124" spans="1:16" outlineLevel="1" x14ac:dyDescent="0.3">
      <c r="B124" s="17" t="s">
        <v>216</v>
      </c>
      <c r="H124" s="18">
        <v>2024</v>
      </c>
      <c r="I124" s="18">
        <f>H124 + 1</f>
        <v>2025</v>
      </c>
      <c r="J124" s="19">
        <f t="shared" ref="J124" si="58">I124 + 1</f>
        <v>2026</v>
      </c>
      <c r="K124" s="19">
        <f t="shared" ref="K124" si="59">J124 + 1</f>
        <v>2027</v>
      </c>
      <c r="L124" s="19">
        <f t="shared" ref="L124" si="60">K124 + 1</f>
        <v>2028</v>
      </c>
      <c r="M124" s="19">
        <f t="shared" ref="M124" si="61">L124 + 1</f>
        <v>2029</v>
      </c>
      <c r="N124" s="19">
        <f t="shared" ref="N124" si="62">M124 + 1</f>
        <v>2030</v>
      </c>
      <c r="O124" s="105"/>
    </row>
    <row r="125" spans="1:16" outlineLevel="1" x14ac:dyDescent="0.3">
      <c r="B125" s="17" t="str">
        <f>_xlfn.CONCAT("Model Currently Running:", " ", INDEX(Inputs!$B$15:$B$17, Inputs!$F$8), " ", "Scenario")</f>
        <v>Model Currently Running: Base Case Scenario</v>
      </c>
      <c r="H125" s="41"/>
      <c r="I125" s="41"/>
      <c r="J125" s="41"/>
      <c r="K125" s="41"/>
      <c r="L125" s="41"/>
      <c r="M125" s="41"/>
      <c r="N125" s="41"/>
    </row>
    <row r="126" spans="1:16" outlineLevel="1" x14ac:dyDescent="0.3">
      <c r="B126" s="17"/>
      <c r="H126" s="41"/>
      <c r="I126" s="41"/>
      <c r="J126" s="41"/>
      <c r="K126" s="41"/>
      <c r="L126" s="41"/>
      <c r="M126" s="41"/>
      <c r="N126" s="41"/>
    </row>
    <row r="127" spans="1:16" outlineLevel="1" x14ac:dyDescent="0.3">
      <c r="B127" t="s">
        <v>86</v>
      </c>
      <c r="H127" s="47">
        <v>365</v>
      </c>
      <c r="I127" s="48">
        <v>365</v>
      </c>
      <c r="J127" s="48">
        <v>365</v>
      </c>
      <c r="K127" s="48">
        <v>365</v>
      </c>
      <c r="L127" s="48">
        <v>365</v>
      </c>
      <c r="M127" s="48">
        <v>365</v>
      </c>
      <c r="N127" s="49">
        <v>365</v>
      </c>
      <c r="O127" s="40"/>
    </row>
    <row r="128" spans="1:16" outlineLevel="1" x14ac:dyDescent="0.3">
      <c r="B128" t="s">
        <v>4</v>
      </c>
      <c r="H128" s="50">
        <f t="shared" ref="H128:N128" si="63">H13</f>
        <v>74537</v>
      </c>
      <c r="I128" s="41">
        <f t="shared" si="63"/>
        <v>85498</v>
      </c>
      <c r="J128" s="41">
        <f t="shared" si="63"/>
        <v>98322.7</v>
      </c>
      <c r="K128" s="41">
        <f t="shared" si="63"/>
        <v>112579.4915</v>
      </c>
      <c r="L128" s="41">
        <f t="shared" si="63"/>
        <v>128340.62031</v>
      </c>
      <c r="M128" s="41">
        <f t="shared" si="63"/>
        <v>145987.45560262501</v>
      </c>
      <c r="N128" s="51">
        <f t="shared" si="63"/>
        <v>165695.7621089794</v>
      </c>
      <c r="O128" s="41"/>
    </row>
    <row r="129" spans="2:15" outlineLevel="1" x14ac:dyDescent="0.3">
      <c r="B129" t="s">
        <v>5</v>
      </c>
      <c r="H129" s="52">
        <f t="shared" ref="H129:N129" si="64">-H14</f>
        <v>19990</v>
      </c>
      <c r="I129" s="53">
        <f t="shared" si="64"/>
        <v>22848</v>
      </c>
      <c r="J129" s="53">
        <f t="shared" si="64"/>
        <v>24580.674999999999</v>
      </c>
      <c r="K129" s="53">
        <f t="shared" si="64"/>
        <v>28426.321603750002</v>
      </c>
      <c r="L129" s="53">
        <f t="shared" si="64"/>
        <v>32726.858179049999</v>
      </c>
      <c r="M129" s="53">
        <f t="shared" si="64"/>
        <v>37591.769817675937</v>
      </c>
      <c r="N129" s="54">
        <f t="shared" si="64"/>
        <v>43080.898148334643</v>
      </c>
      <c r="O129" s="41"/>
    </row>
    <row r="130" spans="2:15" outlineLevel="1" x14ac:dyDescent="0.3">
      <c r="H130" s="41"/>
      <c r="I130" s="41"/>
      <c r="J130" s="41"/>
      <c r="K130" s="41"/>
      <c r="L130" s="41"/>
      <c r="M130" s="41"/>
      <c r="N130" s="41"/>
      <c r="O130" s="41"/>
    </row>
    <row r="131" spans="2:15" outlineLevel="1" x14ac:dyDescent="0.3">
      <c r="H131" s="41"/>
      <c r="I131" s="41"/>
      <c r="J131" s="41"/>
      <c r="K131" s="41"/>
      <c r="L131" s="41"/>
      <c r="M131" s="41"/>
      <c r="N131" s="41"/>
      <c r="O131" s="41"/>
    </row>
    <row r="132" spans="2:15" outlineLevel="1" x14ac:dyDescent="0.3">
      <c r="B132" s="16" t="s">
        <v>81</v>
      </c>
      <c r="H132" s="41"/>
      <c r="I132" s="41"/>
      <c r="J132" s="41"/>
      <c r="K132" s="41"/>
      <c r="L132" s="41"/>
      <c r="M132" s="41"/>
      <c r="N132" s="41"/>
      <c r="O132" s="41"/>
    </row>
    <row r="133" spans="2:15" outlineLevel="1" x14ac:dyDescent="0.3">
      <c r="B133" s="22" t="s">
        <v>87</v>
      </c>
      <c r="E133" s="38" t="s">
        <v>88</v>
      </c>
      <c r="H133" s="87">
        <f>(H139 / H128) * H127</f>
        <v>39.581617183412263</v>
      </c>
      <c r="I133" s="76">
        <f t="shared" ref="I133" si="65">(I139 / I128) * I127</f>
        <v>34.784673325691834</v>
      </c>
      <c r="J133" s="76">
        <f>Inputs!H43</f>
        <v>35</v>
      </c>
      <c r="K133" s="76">
        <f>Inputs!I43</f>
        <v>35</v>
      </c>
      <c r="L133" s="76">
        <f>Inputs!J43</f>
        <v>35</v>
      </c>
      <c r="M133" s="76">
        <f>Inputs!K43</f>
        <v>35</v>
      </c>
      <c r="N133" s="77">
        <f>Inputs!L43</f>
        <v>35</v>
      </c>
      <c r="O133" s="41"/>
    </row>
    <row r="134" spans="2:15" outlineLevel="1" x14ac:dyDescent="0.3">
      <c r="B134" s="22" t="s">
        <v>24</v>
      </c>
      <c r="E134" s="38" t="s">
        <v>88</v>
      </c>
      <c r="H134" s="50">
        <f>(H140 / H$129) * H$127</f>
        <v>21.673586793396698</v>
      </c>
      <c r="I134" s="41">
        <f>(I140 / I$129) * I$127</f>
        <v>20.224527310924369</v>
      </c>
      <c r="J134" s="41">
        <f>Inputs!H44</f>
        <v>20</v>
      </c>
      <c r="K134" s="41">
        <f>Inputs!I44</f>
        <v>20</v>
      </c>
      <c r="L134" s="41">
        <f>Inputs!J44</f>
        <v>20</v>
      </c>
      <c r="M134" s="41">
        <f>Inputs!K44</f>
        <v>20</v>
      </c>
      <c r="N134" s="51">
        <f>Inputs!L44</f>
        <v>20</v>
      </c>
      <c r="O134" s="41"/>
    </row>
    <row r="135" spans="2:15" outlineLevel="1" x14ac:dyDescent="0.3">
      <c r="B135" s="22" t="s">
        <v>83</v>
      </c>
      <c r="E135" s="38" t="s">
        <v>88</v>
      </c>
      <c r="H135" s="52">
        <f t="shared" ref="H135" si="66">(H141 / H$129) * H$127</f>
        <v>138.31290645322662</v>
      </c>
      <c r="I135" s="53">
        <f t="shared" ref="I135" si="67">(I141 / I$129) * I$127</f>
        <v>131.42747724089637</v>
      </c>
      <c r="J135" s="53">
        <f>Inputs!H45</f>
        <v>135</v>
      </c>
      <c r="K135" s="53">
        <f>Inputs!I45</f>
        <v>135</v>
      </c>
      <c r="L135" s="53">
        <f>Inputs!J45</f>
        <v>135</v>
      </c>
      <c r="M135" s="53">
        <f>Inputs!K45</f>
        <v>135</v>
      </c>
      <c r="N135" s="54">
        <f>Inputs!L45</f>
        <v>135</v>
      </c>
      <c r="O135" s="41"/>
    </row>
    <row r="136" spans="2:15" outlineLevel="1" x14ac:dyDescent="0.3">
      <c r="H136" s="41"/>
      <c r="I136" s="41"/>
      <c r="J136" s="41"/>
      <c r="K136" s="41"/>
      <c r="L136" s="41"/>
      <c r="M136" s="41"/>
      <c r="N136" s="41"/>
      <c r="O136" s="41"/>
    </row>
    <row r="137" spans="2:15" outlineLevel="1" x14ac:dyDescent="0.3">
      <c r="H137" s="41"/>
      <c r="I137" s="41"/>
      <c r="J137" s="41"/>
      <c r="K137" s="41"/>
      <c r="L137" s="41"/>
      <c r="M137" s="41"/>
      <c r="N137" s="41"/>
      <c r="O137" s="41"/>
    </row>
    <row r="138" spans="2:15" outlineLevel="1" x14ac:dyDescent="0.3">
      <c r="B138" s="16" t="s">
        <v>89</v>
      </c>
      <c r="H138" s="41"/>
      <c r="I138" s="41"/>
      <c r="J138" s="41"/>
      <c r="K138" s="41"/>
      <c r="L138" s="41"/>
      <c r="M138" s="41"/>
      <c r="N138" s="41"/>
      <c r="O138" s="41"/>
    </row>
    <row r="139" spans="2:15" outlineLevel="1" x14ac:dyDescent="0.3">
      <c r="B139" s="22" t="s">
        <v>87</v>
      </c>
      <c r="H139" s="87">
        <f>H84</f>
        <v>8083</v>
      </c>
      <c r="I139" s="76">
        <f>I84</f>
        <v>8148</v>
      </c>
      <c r="J139" s="76">
        <f>(J133/J127)*J128</f>
        <v>9428.2041095890399</v>
      </c>
      <c r="K139" s="76">
        <f t="shared" ref="K139:N139" si="68">(K133/K127)*K128</f>
        <v>10795.293705479451</v>
      </c>
      <c r="L139" s="76">
        <f t="shared" si="68"/>
        <v>12306.634824246574</v>
      </c>
      <c r="M139" s="76">
        <f t="shared" si="68"/>
        <v>13998.79711258048</v>
      </c>
      <c r="N139" s="77">
        <f t="shared" si="68"/>
        <v>15888.634722778845</v>
      </c>
      <c r="O139" s="41"/>
    </row>
    <row r="140" spans="2:15" outlineLevel="1" x14ac:dyDescent="0.3">
      <c r="B140" s="22" t="s">
        <v>24</v>
      </c>
      <c r="H140" s="50">
        <f>H85</f>
        <v>1187</v>
      </c>
      <c r="I140" s="41">
        <f t="shared" ref="I140" si="69">I85</f>
        <v>1266</v>
      </c>
      <c r="J140" s="41">
        <f>(J134/J127)*J129</f>
        <v>1346.8863013698628</v>
      </c>
      <c r="K140" s="41">
        <f t="shared" ref="K140:N140" si="70">(K134/K127)*K129</f>
        <v>1557.606663219178</v>
      </c>
      <c r="L140" s="41">
        <f t="shared" si="70"/>
        <v>1793.2525029616436</v>
      </c>
      <c r="M140" s="41">
        <f t="shared" si="70"/>
        <v>2059.8230037082703</v>
      </c>
      <c r="N140" s="51">
        <f t="shared" si="70"/>
        <v>2360.5971588128568</v>
      </c>
      <c r="O140" s="41"/>
    </row>
    <row r="141" spans="2:15" outlineLevel="1" x14ac:dyDescent="0.3">
      <c r="B141" s="22" t="s">
        <v>83</v>
      </c>
      <c r="H141" s="52">
        <f>H101</f>
        <v>7575</v>
      </c>
      <c r="I141" s="53">
        <f t="shared" ref="I141" si="71">I101</f>
        <v>8227</v>
      </c>
      <c r="J141" s="53">
        <f>(J135/J127)*J129</f>
        <v>9091.4825342465738</v>
      </c>
      <c r="K141" s="53">
        <f t="shared" ref="K141:N141" si="72">(K135/K127)*K129</f>
        <v>10513.844976729453</v>
      </c>
      <c r="L141" s="53">
        <f t="shared" si="72"/>
        <v>12104.454394991095</v>
      </c>
      <c r="M141" s="53">
        <f t="shared" si="72"/>
        <v>13903.805275030825</v>
      </c>
      <c r="N141" s="54">
        <f t="shared" si="72"/>
        <v>15934.030821986786</v>
      </c>
      <c r="O141" s="41"/>
    </row>
    <row r="142" spans="2:15" outlineLevel="1" x14ac:dyDescent="0.3">
      <c r="H142" s="41"/>
      <c r="I142" s="41"/>
      <c r="J142" s="41"/>
      <c r="K142" s="41"/>
      <c r="L142" s="41"/>
      <c r="M142" s="41"/>
      <c r="N142" s="41"/>
      <c r="O142" s="41"/>
    </row>
    <row r="143" spans="2:15" outlineLevel="1" x14ac:dyDescent="0.3">
      <c r="B143" s="22"/>
      <c r="H143" s="41"/>
      <c r="I143" s="41"/>
      <c r="J143" s="41"/>
      <c r="K143" s="41"/>
      <c r="L143" s="41"/>
      <c r="M143" s="41"/>
      <c r="N143" s="41"/>
      <c r="O143" s="41"/>
    </row>
    <row r="144" spans="2:15" outlineLevel="1" x14ac:dyDescent="0.3">
      <c r="B144" s="24" t="s">
        <v>90</v>
      </c>
      <c r="H144" s="41"/>
      <c r="I144" s="41"/>
      <c r="J144" s="41"/>
      <c r="K144" s="41"/>
      <c r="L144" s="41"/>
      <c r="M144" s="41"/>
      <c r="N144" s="41"/>
      <c r="O144" s="41"/>
    </row>
    <row r="145" spans="1:16" outlineLevel="1" x14ac:dyDescent="0.3">
      <c r="B145" s="22" t="s">
        <v>20</v>
      </c>
      <c r="H145" s="87">
        <f>H139</f>
        <v>8083</v>
      </c>
      <c r="I145" s="76">
        <f t="shared" ref="I145:N145" si="73">I139</f>
        <v>8148</v>
      </c>
      <c r="J145" s="76">
        <f t="shared" si="73"/>
        <v>9428.2041095890399</v>
      </c>
      <c r="K145" s="76">
        <f t="shared" si="73"/>
        <v>10795.293705479451</v>
      </c>
      <c r="L145" s="76">
        <f t="shared" si="73"/>
        <v>12306.634824246574</v>
      </c>
      <c r="M145" s="76">
        <f t="shared" si="73"/>
        <v>13998.79711258048</v>
      </c>
      <c r="N145" s="77">
        <f t="shared" si="73"/>
        <v>15888.634722778845</v>
      </c>
      <c r="O145" s="41"/>
    </row>
    <row r="146" spans="1:16" outlineLevel="1" x14ac:dyDescent="0.3">
      <c r="B146" s="22" t="s">
        <v>35</v>
      </c>
      <c r="H146" s="50">
        <f>SUM(H140:H141)</f>
        <v>8762</v>
      </c>
      <c r="I146" s="41">
        <f t="shared" ref="I146:N146" si="74">SUM(I140:I141)</f>
        <v>9493</v>
      </c>
      <c r="J146" s="41">
        <f t="shared" si="74"/>
        <v>10438.368835616437</v>
      </c>
      <c r="K146" s="41">
        <f t="shared" si="74"/>
        <v>12071.451639948631</v>
      </c>
      <c r="L146" s="41">
        <f t="shared" si="74"/>
        <v>13897.706897952739</v>
      </c>
      <c r="M146" s="41">
        <f t="shared" si="74"/>
        <v>15963.628278739096</v>
      </c>
      <c r="N146" s="51">
        <f t="shared" si="74"/>
        <v>18294.627980799643</v>
      </c>
      <c r="O146" s="41"/>
    </row>
    <row r="147" spans="1:16" outlineLevel="1" x14ac:dyDescent="0.3">
      <c r="B147" s="22" t="s">
        <v>90</v>
      </c>
      <c r="H147" s="52">
        <f>SUM(H145:H146)</f>
        <v>16845</v>
      </c>
      <c r="I147" s="53">
        <f t="shared" ref="I147:N147" si="75">SUM(I145:I146)</f>
        <v>17641</v>
      </c>
      <c r="J147" s="53">
        <f t="shared" si="75"/>
        <v>19866.572945205477</v>
      </c>
      <c r="K147" s="53">
        <f t="shared" si="75"/>
        <v>22866.745345428084</v>
      </c>
      <c r="L147" s="53">
        <f t="shared" si="75"/>
        <v>26204.341722199315</v>
      </c>
      <c r="M147" s="53">
        <f t="shared" si="75"/>
        <v>29962.425391319575</v>
      </c>
      <c r="N147" s="54">
        <f t="shared" si="75"/>
        <v>34183.26270357849</v>
      </c>
      <c r="O147" s="41"/>
    </row>
    <row r="148" spans="1:16" outlineLevel="1" x14ac:dyDescent="0.3">
      <c r="H148" s="41"/>
      <c r="I148" s="41"/>
      <c r="J148" s="41"/>
      <c r="K148" s="41"/>
      <c r="L148" s="41"/>
      <c r="M148" s="41"/>
      <c r="N148" s="41"/>
      <c r="O148" s="41"/>
    </row>
    <row r="149" spans="1:16" outlineLevel="1" x14ac:dyDescent="0.3">
      <c r="H149" s="41"/>
      <c r="I149" s="41"/>
      <c r="J149" s="41"/>
      <c r="K149" s="41"/>
      <c r="L149" s="41"/>
      <c r="M149" s="41"/>
      <c r="N149" s="41"/>
      <c r="O149" s="41"/>
    </row>
    <row r="150" spans="1:16" ht="15" outlineLevel="1" thickBot="1" x14ac:dyDescent="0.35">
      <c r="B150" s="24" t="s">
        <v>91</v>
      </c>
      <c r="H150" s="41"/>
      <c r="I150" s="99">
        <f>I147-H147</f>
        <v>796</v>
      </c>
      <c r="J150" s="44">
        <f t="shared" ref="J150:N150" si="76">J147-I147</f>
        <v>2225.5729452054766</v>
      </c>
      <c r="K150" s="44">
        <f t="shared" si="76"/>
        <v>3000.1724002226074</v>
      </c>
      <c r="L150" s="44">
        <f t="shared" si="76"/>
        <v>3337.596376771231</v>
      </c>
      <c r="M150" s="44">
        <f t="shared" si="76"/>
        <v>3758.0836691202603</v>
      </c>
      <c r="N150" s="44">
        <f t="shared" si="76"/>
        <v>4220.8373122589146</v>
      </c>
      <c r="O150" s="73"/>
    </row>
    <row r="151" spans="1:16" outlineLevel="1" x14ac:dyDescent="0.3">
      <c r="H151" s="41"/>
      <c r="I151" s="41"/>
      <c r="J151" s="41"/>
      <c r="K151" s="41"/>
      <c r="L151" s="41"/>
      <c r="M151" s="41"/>
      <c r="N151" s="41"/>
    </row>
    <row r="152" spans="1:16" x14ac:dyDescent="0.3">
      <c r="H152" s="41"/>
      <c r="I152" s="41"/>
      <c r="J152" s="41"/>
      <c r="K152" s="41"/>
      <c r="L152" s="41"/>
      <c r="M152" s="41"/>
      <c r="N152" s="41"/>
    </row>
    <row r="153" spans="1:16" ht="18" x14ac:dyDescent="0.35">
      <c r="A153" t="s">
        <v>145</v>
      </c>
      <c r="B153" s="15" t="s">
        <v>92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</row>
    <row r="154" spans="1:16" outlineLevel="1" x14ac:dyDescent="0.3">
      <c r="H154" s="41"/>
      <c r="I154" s="41"/>
      <c r="J154" s="41"/>
      <c r="K154" s="41"/>
      <c r="L154" s="41"/>
      <c r="M154" s="41"/>
      <c r="N154" s="41"/>
    </row>
    <row r="155" spans="1:16" outlineLevel="1" x14ac:dyDescent="0.3">
      <c r="B155" s="17" t="s">
        <v>216</v>
      </c>
      <c r="H155" s="18">
        <v>2024</v>
      </c>
      <c r="I155" s="18">
        <f>H155 + 1</f>
        <v>2025</v>
      </c>
      <c r="J155" s="19">
        <f t="shared" ref="J155" si="77">I155 + 1</f>
        <v>2026</v>
      </c>
      <c r="K155" s="19">
        <f t="shared" ref="K155" si="78">J155 + 1</f>
        <v>2027</v>
      </c>
      <c r="L155" s="19">
        <f t="shared" ref="L155" si="79">K155 + 1</f>
        <v>2028</v>
      </c>
      <c r="M155" s="19">
        <f t="shared" ref="M155" si="80">L155 + 1</f>
        <v>2029</v>
      </c>
      <c r="N155" s="19">
        <f t="shared" ref="N155" si="81">M155 + 1</f>
        <v>2030</v>
      </c>
      <c r="O155" s="105"/>
    </row>
    <row r="156" spans="1:16" outlineLevel="1" x14ac:dyDescent="0.3">
      <c r="B156" s="17" t="str">
        <f>_xlfn.CONCAT("Model Currently Running:", " ", INDEX(Inputs!$B$15:$B$17, Inputs!$F$8), " ", "Scenario")</f>
        <v>Model Currently Running: Base Case Scenario</v>
      </c>
      <c r="H156" s="41"/>
      <c r="I156" s="41"/>
      <c r="J156" s="41"/>
      <c r="K156" s="41"/>
      <c r="L156" s="41"/>
      <c r="M156" s="41"/>
      <c r="N156" s="41"/>
    </row>
    <row r="157" spans="1:16" outlineLevel="1" x14ac:dyDescent="0.3">
      <c r="B157" s="17"/>
      <c r="H157" s="41"/>
      <c r="I157" s="41"/>
      <c r="J157" s="41"/>
      <c r="K157" s="41"/>
      <c r="L157" s="41"/>
      <c r="M157" s="41"/>
      <c r="N157" s="41"/>
    </row>
    <row r="158" spans="1:16" outlineLevel="1" x14ac:dyDescent="0.3">
      <c r="B158" t="s">
        <v>93</v>
      </c>
      <c r="H158" s="41"/>
      <c r="I158" s="41"/>
      <c r="J158" s="55">
        <f>Inputs!H34*'DCF Valuation'!J13</f>
        <v>7865.8159999999998</v>
      </c>
      <c r="K158" s="56">
        <f>Inputs!I34*'DCF Valuation'!K13</f>
        <v>9006.3593200000014</v>
      </c>
      <c r="L158" s="56">
        <f>Inputs!J34*'DCF Valuation'!L13</f>
        <v>10267.249624800001</v>
      </c>
      <c r="M158" s="56">
        <f>Inputs!K34*'DCF Valuation'!M13</f>
        <v>11678.99644821</v>
      </c>
      <c r="N158" s="57">
        <f>Inputs!L34*'DCF Valuation'!N13</f>
        <v>13255.660968718352</v>
      </c>
    </row>
    <row r="159" spans="1:16" outlineLevel="1" x14ac:dyDescent="0.3">
      <c r="H159" s="41"/>
      <c r="I159" s="41"/>
      <c r="J159" s="41"/>
      <c r="K159" s="41"/>
      <c r="L159" s="41"/>
      <c r="M159" s="41"/>
      <c r="N159" s="41"/>
    </row>
    <row r="160" spans="1:16" outlineLevel="1" x14ac:dyDescent="0.3">
      <c r="H160" s="41"/>
      <c r="I160" s="41"/>
      <c r="J160" s="41"/>
      <c r="K160" s="41"/>
      <c r="L160" s="41"/>
      <c r="M160" s="41"/>
      <c r="N160" s="41"/>
    </row>
    <row r="161" spans="2:14" outlineLevel="1" x14ac:dyDescent="0.3">
      <c r="B161" s="16" t="s">
        <v>94</v>
      </c>
      <c r="E161" s="58" t="s">
        <v>95</v>
      </c>
      <c r="K161" s="59"/>
      <c r="L161" s="62" t="s">
        <v>102</v>
      </c>
    </row>
    <row r="162" spans="2:14" outlineLevel="1" x14ac:dyDescent="0.3">
      <c r="B162" s="27" t="s">
        <v>96</v>
      </c>
      <c r="C162" s="9"/>
      <c r="D162" s="9"/>
      <c r="E162" s="63">
        <v>7</v>
      </c>
      <c r="H162" s="60"/>
      <c r="J162" s="61" t="s">
        <v>97</v>
      </c>
      <c r="K162" s="61" t="s">
        <v>98</v>
      </c>
      <c r="L162" s="61" t="s">
        <v>99</v>
      </c>
      <c r="M162" s="61" t="s">
        <v>100</v>
      </c>
      <c r="N162" s="61" t="s">
        <v>103</v>
      </c>
    </row>
    <row r="163" spans="2:14" outlineLevel="1" x14ac:dyDescent="0.3">
      <c r="B163" s="28" t="s">
        <v>101</v>
      </c>
      <c r="C163" s="10"/>
      <c r="D163" s="10"/>
      <c r="E163" s="64">
        <f>I90</f>
        <v>65330</v>
      </c>
      <c r="J163" s="65">
        <f>MIN($E162 - SUM($I163:I163), 1)</f>
        <v>1</v>
      </c>
      <c r="K163" s="66">
        <f>MIN($E162 - SUM($I163:J163), 1)</f>
        <v>1</v>
      </c>
      <c r="L163" s="66">
        <f>MIN($E162 - SUM($I163:K163), 1)</f>
        <v>1</v>
      </c>
      <c r="M163" s="66">
        <f>MIN($E162 - SUM($I163:L163), 1)</f>
        <v>1</v>
      </c>
      <c r="N163" s="67">
        <f>MIN($E162 - SUM($I163:M163), 1)</f>
        <v>1</v>
      </c>
    </row>
    <row r="164" spans="2:14" outlineLevel="1" x14ac:dyDescent="0.3">
      <c r="H164" s="41"/>
      <c r="I164" s="41"/>
      <c r="J164" s="41"/>
      <c r="K164" s="41"/>
      <c r="L164" s="41"/>
      <c r="M164" s="41"/>
      <c r="N164" s="41"/>
    </row>
    <row r="165" spans="2:14" outlineLevel="1" x14ac:dyDescent="0.3">
      <c r="H165" s="41"/>
      <c r="I165" s="41"/>
      <c r="J165" s="41"/>
      <c r="K165" s="41"/>
      <c r="L165" s="41"/>
      <c r="M165" s="41"/>
      <c r="N165" s="41"/>
    </row>
    <row r="166" spans="2:14" outlineLevel="1" x14ac:dyDescent="0.3">
      <c r="B166" s="10"/>
      <c r="C166" s="10"/>
      <c r="D166" s="10"/>
      <c r="E166" s="10"/>
      <c r="F166" s="10"/>
      <c r="G166" s="10"/>
      <c r="H166" s="53"/>
      <c r="I166" s="53"/>
      <c r="J166" s="53"/>
      <c r="K166" s="53"/>
      <c r="L166" s="53"/>
      <c r="M166" s="53"/>
      <c r="N166" s="53"/>
    </row>
    <row r="167" spans="2:14" outlineLevel="1" x14ac:dyDescent="0.3">
      <c r="H167" s="41"/>
      <c r="I167" s="41"/>
      <c r="J167" s="41"/>
      <c r="K167" s="41"/>
      <c r="L167" s="41"/>
      <c r="M167" s="41"/>
      <c r="N167" s="41"/>
    </row>
    <row r="168" spans="2:14" outlineLevel="1" x14ac:dyDescent="0.3">
      <c r="B168" s="16" t="s">
        <v>104</v>
      </c>
      <c r="E168" s="58" t="s">
        <v>95</v>
      </c>
      <c r="H168" s="41"/>
      <c r="I168" s="41"/>
      <c r="K168" s="59"/>
      <c r="L168" s="62" t="s">
        <v>102</v>
      </c>
    </row>
    <row r="169" spans="2:14" outlineLevel="1" x14ac:dyDescent="0.3">
      <c r="B169" s="27" t="s">
        <v>105</v>
      </c>
      <c r="C169" s="9"/>
      <c r="D169" s="9"/>
      <c r="E169" s="39">
        <v>10</v>
      </c>
      <c r="H169" s="41"/>
      <c r="I169" s="41"/>
      <c r="J169" s="61" t="s">
        <v>97</v>
      </c>
      <c r="K169" s="61" t="s">
        <v>98</v>
      </c>
      <c r="L169" s="61" t="s">
        <v>99</v>
      </c>
      <c r="M169" s="61" t="s">
        <v>100</v>
      </c>
      <c r="N169" s="61" t="s">
        <v>103</v>
      </c>
    </row>
    <row r="170" spans="2:14" outlineLevel="1" x14ac:dyDescent="0.3">
      <c r="B170" s="28" t="s">
        <v>106</v>
      </c>
      <c r="C170" s="10"/>
      <c r="D170" s="10"/>
      <c r="E170" s="68">
        <v>0.5</v>
      </c>
      <c r="H170" s="41"/>
      <c r="I170" s="41"/>
      <c r="J170" s="69">
        <f>IF(I170 = "", $E$170, MIN($E$169 - SUM($I170:I170), 1))</f>
        <v>0.5</v>
      </c>
      <c r="K170" s="70">
        <f>IF(J170 = "", $E$170, MIN($E$169 - SUM($I170:J170), 1))</f>
        <v>1</v>
      </c>
      <c r="L170" s="70">
        <f>IF(K170 = "", $E$170, MIN($E$169 - SUM($I170:K170), 1))</f>
        <v>1</v>
      </c>
      <c r="M170" s="70">
        <f>IF(L170 = "", $E$170, MIN($E$169 - SUM($I170:L170), 1))</f>
        <v>1</v>
      </c>
      <c r="N170" s="71">
        <f>IF(M170 = "", $E$170, MIN($E$169 - SUM($I170:M170), 1))</f>
        <v>1</v>
      </c>
    </row>
    <row r="171" spans="2:14" outlineLevel="1" x14ac:dyDescent="0.3">
      <c r="H171" s="41"/>
      <c r="I171" s="41"/>
      <c r="J171" s="41"/>
      <c r="K171" s="41"/>
      <c r="L171" s="41"/>
      <c r="M171" s="41"/>
      <c r="N171" s="41"/>
    </row>
    <row r="172" spans="2:14" outlineLevel="1" x14ac:dyDescent="0.3">
      <c r="H172" s="41"/>
      <c r="I172" s="41"/>
      <c r="J172" s="41"/>
      <c r="K172" s="41"/>
      <c r="L172" s="41"/>
      <c r="M172" s="41"/>
      <c r="N172" s="41"/>
    </row>
    <row r="173" spans="2:14" outlineLevel="1" x14ac:dyDescent="0.3">
      <c r="H173" s="41"/>
      <c r="I173" s="41"/>
      <c r="J173" s="41"/>
      <c r="K173" s="41"/>
      <c r="L173" s="41"/>
      <c r="M173" s="41"/>
      <c r="N173" s="41"/>
    </row>
    <row r="174" spans="2:14" outlineLevel="1" x14ac:dyDescent="0.3">
      <c r="G174" s="16" t="s">
        <v>107</v>
      </c>
      <c r="H174" s="73" t="s">
        <v>108</v>
      </c>
      <c r="I174" s="41"/>
      <c r="J174" s="72">
        <v>2026</v>
      </c>
      <c r="K174" s="72">
        <f>J174+1</f>
        <v>2027</v>
      </c>
      <c r="L174" s="72">
        <f t="shared" ref="L174:N174" si="82">K174+1</f>
        <v>2028</v>
      </c>
      <c r="M174" s="72">
        <f t="shared" si="82"/>
        <v>2029</v>
      </c>
      <c r="N174" s="72">
        <f t="shared" si="82"/>
        <v>2030</v>
      </c>
    </row>
    <row r="175" spans="2:14" outlineLevel="1" x14ac:dyDescent="0.3">
      <c r="G175" s="74">
        <v>2026</v>
      </c>
      <c r="H175" s="75">
        <f>$E$169</f>
        <v>10</v>
      </c>
      <c r="I175" s="77"/>
      <c r="J175" s="86">
        <f>J170</f>
        <v>0.5</v>
      </c>
      <c r="K175" s="82">
        <f t="shared" ref="K175:N175" si="83">K170</f>
        <v>1</v>
      </c>
      <c r="L175" s="82">
        <f t="shared" si="83"/>
        <v>1</v>
      </c>
      <c r="M175" s="82">
        <f t="shared" si="83"/>
        <v>1</v>
      </c>
      <c r="N175" s="83">
        <f t="shared" si="83"/>
        <v>1</v>
      </c>
    </row>
    <row r="176" spans="2:14" outlineLevel="1" x14ac:dyDescent="0.3">
      <c r="G176" s="78">
        <f>G175+1</f>
        <v>2027</v>
      </c>
      <c r="H176" s="79">
        <f t="shared" ref="H176:H179" si="84">$E$169</f>
        <v>10</v>
      </c>
      <c r="I176" s="51"/>
      <c r="J176" s="50">
        <f>I175</f>
        <v>0</v>
      </c>
      <c r="K176" s="43">
        <f t="shared" ref="K176:N179" si="85">J175</f>
        <v>0.5</v>
      </c>
      <c r="L176" s="43">
        <f t="shared" si="85"/>
        <v>1</v>
      </c>
      <c r="M176" s="43">
        <f t="shared" si="85"/>
        <v>1</v>
      </c>
      <c r="N176" s="84">
        <f t="shared" si="85"/>
        <v>1</v>
      </c>
    </row>
    <row r="177" spans="2:14" outlineLevel="1" x14ac:dyDescent="0.3">
      <c r="G177" s="78">
        <f>G176+1</f>
        <v>2028</v>
      </c>
      <c r="H177" s="79">
        <f t="shared" si="84"/>
        <v>10</v>
      </c>
      <c r="I177" s="51"/>
      <c r="J177" s="50">
        <f t="shared" ref="J177:J179" si="86">I176</f>
        <v>0</v>
      </c>
      <c r="K177" s="41">
        <f t="shared" si="85"/>
        <v>0</v>
      </c>
      <c r="L177" s="43">
        <f t="shared" si="85"/>
        <v>0.5</v>
      </c>
      <c r="M177" s="43">
        <f t="shared" si="85"/>
        <v>1</v>
      </c>
      <c r="N177" s="84">
        <f t="shared" si="85"/>
        <v>1</v>
      </c>
    </row>
    <row r="178" spans="2:14" outlineLevel="1" x14ac:dyDescent="0.3">
      <c r="G178" s="78">
        <f>G177+1</f>
        <v>2029</v>
      </c>
      <c r="H178" s="79">
        <f t="shared" si="84"/>
        <v>10</v>
      </c>
      <c r="I178" s="51"/>
      <c r="J178" s="50">
        <f t="shared" si="86"/>
        <v>0</v>
      </c>
      <c r="K178" s="41">
        <f t="shared" si="85"/>
        <v>0</v>
      </c>
      <c r="L178" s="41">
        <f t="shared" si="85"/>
        <v>0</v>
      </c>
      <c r="M178" s="43">
        <f t="shared" si="85"/>
        <v>0.5</v>
      </c>
      <c r="N178" s="84">
        <f t="shared" si="85"/>
        <v>1</v>
      </c>
    </row>
    <row r="179" spans="2:14" outlineLevel="1" x14ac:dyDescent="0.3">
      <c r="G179" s="80">
        <f>G178+1</f>
        <v>2030</v>
      </c>
      <c r="H179" s="81">
        <f t="shared" si="84"/>
        <v>10</v>
      </c>
      <c r="I179" s="54"/>
      <c r="J179" s="52">
        <f t="shared" si="86"/>
        <v>0</v>
      </c>
      <c r="K179" s="53">
        <f t="shared" si="85"/>
        <v>0</v>
      </c>
      <c r="L179" s="53">
        <f t="shared" si="85"/>
        <v>0</v>
      </c>
      <c r="M179" s="53">
        <f t="shared" si="85"/>
        <v>0</v>
      </c>
      <c r="N179" s="85">
        <f t="shared" si="85"/>
        <v>0.5</v>
      </c>
    </row>
    <row r="180" spans="2:14" outlineLevel="1" x14ac:dyDescent="0.3">
      <c r="H180" s="41"/>
      <c r="I180" s="41"/>
      <c r="J180" s="41"/>
      <c r="K180" s="41"/>
      <c r="L180" s="41"/>
      <c r="M180" s="41"/>
      <c r="N180" s="41"/>
    </row>
    <row r="181" spans="2:14" outlineLevel="1" x14ac:dyDescent="0.3">
      <c r="H181" s="41"/>
      <c r="I181" s="41"/>
      <c r="J181" s="41"/>
      <c r="K181" s="41"/>
      <c r="L181" s="41"/>
      <c r="M181" s="41"/>
      <c r="N181" s="41"/>
    </row>
    <row r="182" spans="2:14" outlineLevel="1" x14ac:dyDescent="0.3">
      <c r="H182" s="41"/>
      <c r="I182" s="41"/>
      <c r="J182" s="41"/>
      <c r="K182" s="41"/>
      <c r="L182" s="41"/>
      <c r="M182" s="41"/>
      <c r="N182" s="41"/>
    </row>
    <row r="183" spans="2:14" outlineLevel="1" x14ac:dyDescent="0.3">
      <c r="G183" s="16" t="s">
        <v>107</v>
      </c>
      <c r="H183" s="73" t="s">
        <v>110</v>
      </c>
      <c r="I183" s="73" t="s">
        <v>109</v>
      </c>
      <c r="J183" s="72">
        <v>2026</v>
      </c>
      <c r="K183" s="72">
        <f>J183+1</f>
        <v>2027</v>
      </c>
      <c r="L183" s="72">
        <f t="shared" ref="L183:N183" si="87">K183+1</f>
        <v>2028</v>
      </c>
      <c r="M183" s="72">
        <f t="shared" si="87"/>
        <v>2029</v>
      </c>
      <c r="N183" s="72">
        <f t="shared" si="87"/>
        <v>2030</v>
      </c>
    </row>
    <row r="184" spans="2:14" outlineLevel="1" x14ac:dyDescent="0.3">
      <c r="G184" s="74">
        <v>2026</v>
      </c>
      <c r="H184" s="75">
        <f>J158</f>
        <v>7865.8159999999998</v>
      </c>
      <c r="I184" s="88">
        <f>H184 / H175</f>
        <v>786.58159999999998</v>
      </c>
      <c r="J184" s="87">
        <f>$I184*J175</f>
        <v>393.29079999999999</v>
      </c>
      <c r="K184" s="76">
        <f t="shared" ref="K184:N184" si="88">$I184*K175</f>
        <v>786.58159999999998</v>
      </c>
      <c r="L184" s="76">
        <f t="shared" si="88"/>
        <v>786.58159999999998</v>
      </c>
      <c r="M184" s="76">
        <f t="shared" si="88"/>
        <v>786.58159999999998</v>
      </c>
      <c r="N184" s="77">
        <f t="shared" si="88"/>
        <v>786.58159999999998</v>
      </c>
    </row>
    <row r="185" spans="2:14" outlineLevel="1" x14ac:dyDescent="0.3">
      <c r="G185" s="78">
        <f>G184+1</f>
        <v>2027</v>
      </c>
      <c r="H185" s="79">
        <f>K158</f>
        <v>9006.3593200000014</v>
      </c>
      <c r="I185" s="89">
        <f t="shared" ref="I185:I188" si="89">H185 / H176</f>
        <v>900.63593200000014</v>
      </c>
      <c r="J185" s="50">
        <f t="shared" ref="J185:N185" si="90">$I185*J176</f>
        <v>0</v>
      </c>
      <c r="K185" s="41">
        <f t="shared" si="90"/>
        <v>450.31796600000007</v>
      </c>
      <c r="L185" s="41">
        <f t="shared" si="90"/>
        <v>900.63593200000014</v>
      </c>
      <c r="M185" s="41">
        <f t="shared" si="90"/>
        <v>900.63593200000014</v>
      </c>
      <c r="N185" s="51">
        <f t="shared" si="90"/>
        <v>900.63593200000014</v>
      </c>
    </row>
    <row r="186" spans="2:14" outlineLevel="1" x14ac:dyDescent="0.3">
      <c r="G186" s="78">
        <f>G185+1</f>
        <v>2028</v>
      </c>
      <c r="H186" s="79">
        <f>L158</f>
        <v>10267.249624800001</v>
      </c>
      <c r="I186" s="89">
        <f t="shared" si="89"/>
        <v>1026.7249624800002</v>
      </c>
      <c r="J186" s="50">
        <f t="shared" ref="J186:N186" si="91">$I186*J177</f>
        <v>0</v>
      </c>
      <c r="K186" s="41">
        <f t="shared" si="91"/>
        <v>0</v>
      </c>
      <c r="L186" s="41">
        <f t="shared" si="91"/>
        <v>513.36248124000008</v>
      </c>
      <c r="M186" s="41">
        <f t="shared" si="91"/>
        <v>1026.7249624800002</v>
      </c>
      <c r="N186" s="51">
        <f t="shared" si="91"/>
        <v>1026.7249624800002</v>
      </c>
    </row>
    <row r="187" spans="2:14" outlineLevel="1" x14ac:dyDescent="0.3">
      <c r="G187" s="78">
        <f>G186+1</f>
        <v>2029</v>
      </c>
      <c r="H187" s="79">
        <f>M158</f>
        <v>11678.99644821</v>
      </c>
      <c r="I187" s="89">
        <f t="shared" si="89"/>
        <v>1167.899644821</v>
      </c>
      <c r="J187" s="50">
        <f t="shared" ref="J187:N187" si="92">$I187*J178</f>
        <v>0</v>
      </c>
      <c r="K187" s="41">
        <f t="shared" si="92"/>
        <v>0</v>
      </c>
      <c r="L187" s="41">
        <f t="shared" si="92"/>
        <v>0</v>
      </c>
      <c r="M187" s="41">
        <f t="shared" si="92"/>
        <v>583.94982241050002</v>
      </c>
      <c r="N187" s="51">
        <f t="shared" si="92"/>
        <v>1167.899644821</v>
      </c>
    </row>
    <row r="188" spans="2:14" outlineLevel="1" x14ac:dyDescent="0.3">
      <c r="G188" s="80">
        <f>G187+1</f>
        <v>2030</v>
      </c>
      <c r="H188" s="81">
        <f>N158</f>
        <v>13255.660968718352</v>
      </c>
      <c r="I188" s="90">
        <f t="shared" si="89"/>
        <v>1325.5660968718353</v>
      </c>
      <c r="J188" s="52">
        <f t="shared" ref="J188:N188" si="93">$I188*J179</f>
        <v>0</v>
      </c>
      <c r="K188" s="53">
        <f t="shared" si="93"/>
        <v>0</v>
      </c>
      <c r="L188" s="53">
        <f t="shared" si="93"/>
        <v>0</v>
      </c>
      <c r="M188" s="53">
        <f t="shared" si="93"/>
        <v>0</v>
      </c>
      <c r="N188" s="54">
        <f t="shared" si="93"/>
        <v>662.78304843591764</v>
      </c>
    </row>
    <row r="189" spans="2:14" outlineLevel="1" x14ac:dyDescent="0.3">
      <c r="H189" s="41"/>
      <c r="I189" s="41"/>
      <c r="J189" s="41"/>
      <c r="K189" s="41"/>
      <c r="L189" s="41"/>
      <c r="M189" s="41"/>
      <c r="N189" s="41"/>
    </row>
    <row r="190" spans="2:14" outlineLevel="1" x14ac:dyDescent="0.3">
      <c r="H190" s="41"/>
      <c r="I190" s="41"/>
      <c r="J190" s="41"/>
      <c r="K190" s="41"/>
      <c r="L190" s="41"/>
      <c r="M190" s="41"/>
      <c r="N190" s="41"/>
    </row>
    <row r="191" spans="2:14" outlineLevel="1" x14ac:dyDescent="0.3">
      <c r="B191" s="9"/>
      <c r="C191" s="9"/>
      <c r="D191" s="9"/>
      <c r="E191" s="9"/>
      <c r="F191" s="9"/>
      <c r="G191" s="9"/>
      <c r="H191" s="76"/>
      <c r="I191" s="76"/>
      <c r="J191" s="76"/>
      <c r="K191" s="76"/>
      <c r="L191" s="76"/>
      <c r="M191" s="76"/>
      <c r="N191" s="76"/>
    </row>
    <row r="192" spans="2:14" outlineLevel="1" x14ac:dyDescent="0.3">
      <c r="B192" s="16" t="s">
        <v>111</v>
      </c>
      <c r="H192" s="41"/>
      <c r="I192" s="41"/>
      <c r="J192" s="41"/>
      <c r="K192" s="41"/>
      <c r="L192" s="41"/>
      <c r="M192" s="41"/>
      <c r="N192" s="41"/>
    </row>
    <row r="193" spans="1:16" outlineLevel="1" x14ac:dyDescent="0.3">
      <c r="B193" s="22" t="s">
        <v>112</v>
      </c>
      <c r="H193" s="41"/>
      <c r="I193" s="41"/>
      <c r="J193" s="41">
        <f>($E$163/$E$162)*J163</f>
        <v>9332.8571428571431</v>
      </c>
      <c r="K193" s="41">
        <f t="shared" ref="K193:N193" si="94">($E$163/$E$162)*K163</f>
        <v>9332.8571428571431</v>
      </c>
      <c r="L193" s="41">
        <f t="shared" si="94"/>
        <v>9332.8571428571431</v>
      </c>
      <c r="M193" s="41">
        <f t="shared" si="94"/>
        <v>9332.8571428571431</v>
      </c>
      <c r="N193" s="41">
        <f t="shared" si="94"/>
        <v>9332.8571428571431</v>
      </c>
    </row>
    <row r="194" spans="1:16" outlineLevel="1" x14ac:dyDescent="0.3">
      <c r="B194" s="22" t="s">
        <v>113</v>
      </c>
      <c r="H194" s="41"/>
      <c r="I194" s="41"/>
      <c r="J194" s="41">
        <f>SUM(J184:J188)</f>
        <v>393.29079999999999</v>
      </c>
      <c r="K194" s="41">
        <f t="shared" ref="K194:N194" si="95">SUM(K184:K188)</f>
        <v>1236.899566</v>
      </c>
      <c r="L194" s="41">
        <f t="shared" si="95"/>
        <v>2200.58001324</v>
      </c>
      <c r="M194" s="41">
        <f t="shared" si="95"/>
        <v>3297.8923168905003</v>
      </c>
      <c r="N194" s="41">
        <f t="shared" si="95"/>
        <v>4544.6251877369177</v>
      </c>
    </row>
    <row r="195" spans="1:16" ht="15" outlineLevel="1" thickBot="1" x14ac:dyDescent="0.35">
      <c r="B195" s="59" t="s">
        <v>114</v>
      </c>
      <c r="H195" s="41"/>
      <c r="I195" s="41"/>
      <c r="J195" s="44">
        <f>SUM(J193:J194)</f>
        <v>9726.1479428571438</v>
      </c>
      <c r="K195" s="44">
        <f t="shared" ref="K195:N195" si="96">SUM(K193:K194)</f>
        <v>10569.756708857143</v>
      </c>
      <c r="L195" s="44">
        <f t="shared" si="96"/>
        <v>11533.437156097143</v>
      </c>
      <c r="M195" s="44">
        <f t="shared" si="96"/>
        <v>12630.749459747643</v>
      </c>
      <c r="N195" s="44">
        <f t="shared" si="96"/>
        <v>13877.482330594061</v>
      </c>
    </row>
    <row r="196" spans="1:16" outlineLevel="1" x14ac:dyDescent="0.3">
      <c r="H196" s="41"/>
      <c r="I196" s="41"/>
      <c r="J196" s="41"/>
      <c r="K196" s="41"/>
      <c r="L196" s="41"/>
      <c r="M196" s="41"/>
      <c r="N196" s="41"/>
    </row>
    <row r="197" spans="1:16" outlineLevel="1" x14ac:dyDescent="0.3">
      <c r="H197" s="41"/>
      <c r="I197" s="41"/>
      <c r="J197" s="41"/>
      <c r="K197" s="41"/>
      <c r="L197" s="41"/>
      <c r="M197" s="41"/>
      <c r="N197" s="41"/>
    </row>
    <row r="198" spans="1:16" outlineLevel="1" x14ac:dyDescent="0.3">
      <c r="B198" s="24" t="s">
        <v>28</v>
      </c>
      <c r="H198" s="41"/>
      <c r="I198" s="41"/>
      <c r="J198" s="41"/>
      <c r="K198" s="41"/>
      <c r="L198" s="41"/>
      <c r="M198" s="41"/>
      <c r="N198" s="41"/>
    </row>
    <row r="199" spans="1:16" outlineLevel="1" x14ac:dyDescent="0.3">
      <c r="B199" s="22" t="s">
        <v>121</v>
      </c>
      <c r="H199" s="41"/>
      <c r="I199" s="41"/>
      <c r="J199" s="41">
        <f>I202</f>
        <v>65330</v>
      </c>
      <c r="K199" s="41">
        <f t="shared" ref="K199:N199" si="97">J202</f>
        <v>63469.668057142859</v>
      </c>
      <c r="L199" s="41">
        <f t="shared" si="97"/>
        <v>61906.270668285717</v>
      </c>
      <c r="M199" s="41">
        <f t="shared" si="97"/>
        <v>60640.083136988578</v>
      </c>
      <c r="N199" s="41">
        <f t="shared" si="97"/>
        <v>59688.330125450928</v>
      </c>
    </row>
    <row r="200" spans="1:16" outlineLevel="1" x14ac:dyDescent="0.3">
      <c r="B200" s="22" t="s">
        <v>60</v>
      </c>
      <c r="H200" s="41"/>
      <c r="I200" s="41"/>
      <c r="J200" s="41">
        <f>J158</f>
        <v>7865.8159999999998</v>
      </c>
      <c r="K200" s="41">
        <f t="shared" ref="K200:N200" si="98">K158</f>
        <v>9006.3593200000014</v>
      </c>
      <c r="L200" s="41">
        <f t="shared" si="98"/>
        <v>10267.249624800001</v>
      </c>
      <c r="M200" s="41">
        <f t="shared" si="98"/>
        <v>11678.99644821</v>
      </c>
      <c r="N200" s="41">
        <f t="shared" si="98"/>
        <v>13255.660968718352</v>
      </c>
    </row>
    <row r="201" spans="1:16" outlineLevel="1" x14ac:dyDescent="0.3">
      <c r="B201" s="22" t="s">
        <v>122</v>
      </c>
      <c r="H201" s="41"/>
      <c r="I201" s="41"/>
      <c r="J201" s="41">
        <f>-J195</f>
        <v>-9726.1479428571438</v>
      </c>
      <c r="K201" s="41">
        <f t="shared" ref="K201:N201" si="99">-K195</f>
        <v>-10569.756708857143</v>
      </c>
      <c r="L201" s="41">
        <f t="shared" si="99"/>
        <v>-11533.437156097143</v>
      </c>
      <c r="M201" s="41">
        <f t="shared" si="99"/>
        <v>-12630.749459747643</v>
      </c>
      <c r="N201" s="41">
        <f t="shared" si="99"/>
        <v>-13877.482330594061</v>
      </c>
    </row>
    <row r="202" spans="1:16" ht="15" outlineLevel="1" thickBot="1" x14ac:dyDescent="0.35">
      <c r="B202" s="59" t="s">
        <v>123</v>
      </c>
      <c r="H202" s="41"/>
      <c r="I202" s="99">
        <f>I90</f>
        <v>65330</v>
      </c>
      <c r="J202" s="44">
        <f>SUM(J199:J201)</f>
        <v>63469.668057142859</v>
      </c>
      <c r="K202" s="44">
        <f t="shared" ref="K202:N202" si="100">SUM(K199:K201)</f>
        <v>61906.270668285717</v>
      </c>
      <c r="L202" s="44">
        <f t="shared" si="100"/>
        <v>60640.083136988578</v>
      </c>
      <c r="M202" s="44">
        <f t="shared" si="100"/>
        <v>59688.330125450928</v>
      </c>
      <c r="N202" s="44">
        <f t="shared" si="100"/>
        <v>59066.508763575221</v>
      </c>
    </row>
    <row r="203" spans="1:16" outlineLevel="1" x14ac:dyDescent="0.3">
      <c r="H203" s="41"/>
      <c r="I203" s="41"/>
      <c r="J203" s="41"/>
      <c r="K203" s="41"/>
      <c r="L203" s="41"/>
      <c r="M203" s="41"/>
      <c r="N203" s="41"/>
    </row>
    <row r="204" spans="1:16" x14ac:dyDescent="0.3">
      <c r="H204" s="41"/>
      <c r="I204" s="41"/>
      <c r="J204" s="41"/>
      <c r="K204" s="41"/>
      <c r="L204" s="41"/>
      <c r="M204" s="41"/>
      <c r="N204" s="41"/>
    </row>
    <row r="205" spans="1:16" ht="18" x14ac:dyDescent="0.35">
      <c r="A205" t="s">
        <v>145</v>
      </c>
      <c r="B205" s="15" t="s">
        <v>125</v>
      </c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</row>
    <row r="206" spans="1:16" outlineLevel="1" x14ac:dyDescent="0.3">
      <c r="H206" s="41"/>
      <c r="I206" s="41"/>
      <c r="J206" s="41"/>
      <c r="K206" s="41"/>
      <c r="L206" s="41"/>
      <c r="M206" s="41"/>
      <c r="N206" s="41"/>
    </row>
    <row r="207" spans="1:16" outlineLevel="1" x14ac:dyDescent="0.3">
      <c r="B207" s="17" t="s">
        <v>216</v>
      </c>
      <c r="H207" s="18">
        <v>2024</v>
      </c>
      <c r="I207" s="18">
        <f>H207 + 1</f>
        <v>2025</v>
      </c>
      <c r="J207" s="19">
        <f t="shared" ref="J207" si="101">I207 + 1</f>
        <v>2026</v>
      </c>
      <c r="K207" s="19">
        <f t="shared" ref="K207" si="102">J207 + 1</f>
        <v>2027</v>
      </c>
      <c r="L207" s="19">
        <f t="shared" ref="L207" si="103">K207 + 1</f>
        <v>2028</v>
      </c>
      <c r="M207" s="19">
        <f t="shared" ref="M207" si="104">L207 + 1</f>
        <v>2029</v>
      </c>
      <c r="N207" s="19">
        <f t="shared" ref="N207" si="105">M207 + 1</f>
        <v>2030</v>
      </c>
      <c r="O207" s="105"/>
    </row>
    <row r="208" spans="1:16" outlineLevel="1" x14ac:dyDescent="0.3">
      <c r="B208" s="17" t="str">
        <f>_xlfn.CONCAT("Model Currently Running:", " ", INDEX(Inputs!$B$15:$B$17, Inputs!$F$8), " ", "Scenario")</f>
        <v>Model Currently Running: Base Case Scenario</v>
      </c>
      <c r="H208" s="41"/>
      <c r="I208" s="41"/>
      <c r="J208" s="41"/>
      <c r="K208" s="41"/>
      <c r="L208" s="41"/>
      <c r="M208" s="41"/>
      <c r="N208" s="41"/>
    </row>
    <row r="209" spans="1:16" outlineLevel="1" x14ac:dyDescent="0.3">
      <c r="B209" s="17"/>
      <c r="H209" s="41"/>
      <c r="I209" s="41"/>
      <c r="J209" s="41"/>
      <c r="K209" s="41"/>
      <c r="L209" s="41"/>
      <c r="M209" s="41"/>
      <c r="N209" s="41"/>
    </row>
    <row r="210" spans="1:16" outlineLevel="1" x14ac:dyDescent="0.3">
      <c r="B210" s="16" t="s">
        <v>41</v>
      </c>
      <c r="H210" s="41"/>
      <c r="I210" s="41"/>
      <c r="J210" s="41"/>
      <c r="K210" s="41"/>
      <c r="L210" s="41"/>
      <c r="M210" s="41"/>
      <c r="N210" s="41"/>
    </row>
    <row r="211" spans="1:16" outlineLevel="1" x14ac:dyDescent="0.3">
      <c r="B211" s="22" t="s">
        <v>127</v>
      </c>
      <c r="H211" s="41"/>
      <c r="I211" s="41"/>
      <c r="J211" s="41">
        <f>I213</f>
        <v>28317</v>
      </c>
      <c r="K211" s="41">
        <f t="shared" ref="K211:N211" si="106">J213</f>
        <v>27317</v>
      </c>
      <c r="L211" s="41">
        <f t="shared" si="106"/>
        <v>26317</v>
      </c>
      <c r="M211" s="41">
        <f t="shared" si="106"/>
        <v>25317</v>
      </c>
      <c r="N211" s="41">
        <f t="shared" si="106"/>
        <v>24317</v>
      </c>
    </row>
    <row r="212" spans="1:16" outlineLevel="1" x14ac:dyDescent="0.3">
      <c r="B212" s="22" t="s">
        <v>120</v>
      </c>
      <c r="H212" s="41"/>
      <c r="I212" s="41"/>
      <c r="J212" s="41">
        <f>Inputs!H55</f>
        <v>-1000</v>
      </c>
      <c r="K212" s="41">
        <f>Inputs!I55</f>
        <v>-1000</v>
      </c>
      <c r="L212" s="41">
        <f>Inputs!J55</f>
        <v>-1000</v>
      </c>
      <c r="M212" s="41">
        <f>Inputs!K55</f>
        <v>-1000</v>
      </c>
      <c r="N212" s="41">
        <f>Inputs!L55</f>
        <v>-1000</v>
      </c>
    </row>
    <row r="213" spans="1:16" ht="15" outlineLevel="1" thickBot="1" x14ac:dyDescent="0.35">
      <c r="B213" s="59" t="s">
        <v>128</v>
      </c>
      <c r="H213" s="41"/>
      <c r="I213" s="99">
        <f>I107</f>
        <v>28317</v>
      </c>
      <c r="J213" s="44">
        <f>SUM(J211:J212)</f>
        <v>27317</v>
      </c>
      <c r="K213" s="44">
        <f t="shared" ref="K213:N213" si="107">SUM(K211:K212)</f>
        <v>26317</v>
      </c>
      <c r="L213" s="44">
        <f t="shared" si="107"/>
        <v>25317</v>
      </c>
      <c r="M213" s="44">
        <f t="shared" si="107"/>
        <v>24317</v>
      </c>
      <c r="N213" s="44">
        <f t="shared" si="107"/>
        <v>23317</v>
      </c>
    </row>
    <row r="214" spans="1:16" outlineLevel="1" x14ac:dyDescent="0.3">
      <c r="B214" s="22"/>
      <c r="H214" s="41"/>
      <c r="I214" s="41"/>
      <c r="J214" s="41"/>
      <c r="K214" s="41"/>
      <c r="L214" s="41"/>
      <c r="M214" s="41"/>
      <c r="N214" s="41"/>
    </row>
    <row r="215" spans="1:16" outlineLevel="1" x14ac:dyDescent="0.3">
      <c r="B215" s="22" t="s">
        <v>126</v>
      </c>
      <c r="H215" s="41"/>
      <c r="I215" s="41"/>
      <c r="J215" s="43">
        <f>Inputs!$D$61</f>
        <v>0.1</v>
      </c>
      <c r="K215" s="43">
        <f>Inputs!$D$61</f>
        <v>0.1</v>
      </c>
      <c r="L215" s="43">
        <f>Inputs!$D$61</f>
        <v>0.1</v>
      </c>
      <c r="M215" s="43">
        <f>Inputs!$D$61</f>
        <v>0.1</v>
      </c>
      <c r="N215" s="43">
        <f>Inputs!$D$61</f>
        <v>0.1</v>
      </c>
    </row>
    <row r="216" spans="1:16" ht="15" outlineLevel="1" thickBot="1" x14ac:dyDescent="0.35">
      <c r="B216" s="59" t="s">
        <v>12</v>
      </c>
      <c r="H216" s="41"/>
      <c r="I216" s="41"/>
      <c r="J216" s="44">
        <f>AVERAGE(J211,J213) * J215</f>
        <v>2781.7000000000003</v>
      </c>
      <c r="K216" s="44">
        <f t="shared" ref="K216:N216" si="108">AVERAGE(K211,K213) * K215</f>
        <v>2681.7000000000003</v>
      </c>
      <c r="L216" s="44">
        <f t="shared" si="108"/>
        <v>2581.7000000000003</v>
      </c>
      <c r="M216" s="44">
        <f t="shared" si="108"/>
        <v>2481.7000000000003</v>
      </c>
      <c r="N216" s="44">
        <f t="shared" si="108"/>
        <v>2381.7000000000003</v>
      </c>
    </row>
    <row r="217" spans="1:16" outlineLevel="1" x14ac:dyDescent="0.3">
      <c r="H217" s="41"/>
      <c r="I217" s="41"/>
      <c r="J217" s="41"/>
      <c r="K217" s="41"/>
      <c r="L217" s="41"/>
      <c r="M217" s="41"/>
      <c r="N217" s="41"/>
    </row>
    <row r="218" spans="1:16" x14ac:dyDescent="0.3">
      <c r="H218" s="41"/>
      <c r="I218" s="41"/>
      <c r="J218" s="41"/>
      <c r="K218" s="41"/>
      <c r="L218" s="41"/>
      <c r="M218" s="41"/>
      <c r="N218" s="41"/>
    </row>
    <row r="219" spans="1:16" ht="18" x14ac:dyDescent="0.35">
      <c r="A219" t="s">
        <v>145</v>
      </c>
      <c r="B219" s="15" t="s">
        <v>129</v>
      </c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</row>
    <row r="220" spans="1:16" outlineLevel="1" x14ac:dyDescent="0.3">
      <c r="H220" s="41"/>
      <c r="I220" s="41"/>
      <c r="J220" s="41"/>
      <c r="K220" s="41"/>
      <c r="L220" s="41"/>
      <c r="M220" s="41"/>
      <c r="N220" s="41"/>
    </row>
    <row r="221" spans="1:16" outlineLevel="1" x14ac:dyDescent="0.3">
      <c r="B221" s="17" t="s">
        <v>216</v>
      </c>
      <c r="H221" s="18">
        <v>2024</v>
      </c>
      <c r="I221" s="18">
        <f>H221 + 1</f>
        <v>2025</v>
      </c>
      <c r="J221" s="19">
        <f t="shared" ref="J221" si="109">I221 + 1</f>
        <v>2026</v>
      </c>
      <c r="K221" s="19">
        <f t="shared" ref="K221" si="110">J221 + 1</f>
        <v>2027</v>
      </c>
      <c r="L221" s="19">
        <f t="shared" ref="L221" si="111">K221 + 1</f>
        <v>2028</v>
      </c>
      <c r="M221" s="19">
        <f t="shared" ref="M221" si="112">L221 + 1</f>
        <v>2029</v>
      </c>
      <c r="N221" s="19">
        <f t="shared" ref="N221" si="113">M221 + 1</f>
        <v>2030</v>
      </c>
      <c r="O221" s="105"/>
    </row>
    <row r="222" spans="1:16" outlineLevel="1" x14ac:dyDescent="0.3">
      <c r="B222" s="17" t="str">
        <f>_xlfn.CONCAT("Model Currently Running:", " ", INDEX(Inputs!$B$15:$B$17, Inputs!$F$8), " ", "Scenario")</f>
        <v>Model Currently Running: Base Case Scenario</v>
      </c>
      <c r="H222" s="41"/>
      <c r="I222" s="41"/>
      <c r="J222" s="41"/>
      <c r="K222" s="41"/>
      <c r="L222" s="41"/>
      <c r="M222" s="41"/>
      <c r="N222" s="41"/>
    </row>
    <row r="223" spans="1:16" outlineLevel="1" x14ac:dyDescent="0.3">
      <c r="B223" s="17"/>
      <c r="H223" s="41"/>
      <c r="I223" s="41"/>
      <c r="J223" s="41"/>
      <c r="K223" s="41"/>
      <c r="L223" s="41"/>
      <c r="M223" s="41"/>
      <c r="N223" s="41"/>
    </row>
    <row r="224" spans="1:16" outlineLevel="1" x14ac:dyDescent="0.3">
      <c r="B224" s="16" t="s">
        <v>119</v>
      </c>
      <c r="H224" s="41"/>
      <c r="I224" s="41"/>
      <c r="J224" s="41"/>
      <c r="K224" s="41"/>
      <c r="L224" s="41"/>
      <c r="M224" s="41"/>
      <c r="N224" s="41"/>
    </row>
    <row r="225" spans="1:16" outlineLevel="1" x14ac:dyDescent="0.3">
      <c r="B225" s="22" t="s">
        <v>127</v>
      </c>
      <c r="H225" s="41"/>
      <c r="I225" s="41"/>
      <c r="J225" s="41">
        <f>I227</f>
        <v>719</v>
      </c>
      <c r="K225" s="41">
        <f t="shared" ref="K225:N225" si="114">J227</f>
        <v>719</v>
      </c>
      <c r="L225" s="41">
        <f t="shared" si="114"/>
        <v>719</v>
      </c>
      <c r="M225" s="41">
        <f t="shared" si="114"/>
        <v>719</v>
      </c>
      <c r="N225" s="41">
        <f t="shared" si="114"/>
        <v>719</v>
      </c>
    </row>
    <row r="226" spans="1:16" outlineLevel="1" x14ac:dyDescent="0.3">
      <c r="B226" s="22" t="s">
        <v>130</v>
      </c>
      <c r="H226" s="41"/>
      <c r="I226" s="41"/>
      <c r="J226" s="41">
        <f>Inputs!H56</f>
        <v>0</v>
      </c>
      <c r="K226" s="41">
        <f>Inputs!I56</f>
        <v>0</v>
      </c>
      <c r="L226" s="41">
        <f>Inputs!J56</f>
        <v>0</v>
      </c>
      <c r="M226" s="41">
        <f>Inputs!K56</f>
        <v>0</v>
      </c>
      <c r="N226" s="41">
        <f>Inputs!L56</f>
        <v>0</v>
      </c>
    </row>
    <row r="227" spans="1:16" ht="15" outlineLevel="1" thickBot="1" x14ac:dyDescent="0.35">
      <c r="B227" s="59" t="s">
        <v>128</v>
      </c>
      <c r="H227" s="41"/>
      <c r="I227" s="99">
        <f>I112</f>
        <v>719</v>
      </c>
      <c r="J227" s="44">
        <f>SUM(J225:J226)</f>
        <v>719</v>
      </c>
      <c r="K227" s="44">
        <f t="shared" ref="K227:N227" si="115">SUM(K225:K226)</f>
        <v>719</v>
      </c>
      <c r="L227" s="44">
        <f t="shared" si="115"/>
        <v>719</v>
      </c>
      <c r="M227" s="44">
        <f t="shared" si="115"/>
        <v>719</v>
      </c>
      <c r="N227" s="44">
        <f t="shared" si="115"/>
        <v>719</v>
      </c>
    </row>
    <row r="228" spans="1:16" outlineLevel="1" x14ac:dyDescent="0.3">
      <c r="H228" s="41"/>
      <c r="I228" s="41"/>
      <c r="J228" s="41"/>
      <c r="K228" s="41"/>
      <c r="L228" s="41"/>
      <c r="M228" s="41"/>
      <c r="N228" s="41"/>
    </row>
    <row r="229" spans="1:16" outlineLevel="1" x14ac:dyDescent="0.3">
      <c r="H229" s="41"/>
      <c r="I229" s="41"/>
      <c r="J229" s="41"/>
      <c r="K229" s="41"/>
      <c r="L229" s="41"/>
      <c r="M229" s="41"/>
      <c r="N229" s="41"/>
    </row>
    <row r="230" spans="1:16" outlineLevel="1" x14ac:dyDescent="0.3">
      <c r="B230" s="16" t="s">
        <v>131</v>
      </c>
      <c r="H230" s="41"/>
      <c r="I230" s="41"/>
      <c r="J230" s="41"/>
      <c r="K230" s="41"/>
      <c r="L230" s="41"/>
      <c r="M230" s="41"/>
      <c r="N230" s="41"/>
    </row>
    <row r="231" spans="1:16" outlineLevel="1" x14ac:dyDescent="0.3">
      <c r="B231" s="22" t="s">
        <v>127</v>
      </c>
      <c r="H231" s="41"/>
      <c r="I231" s="41"/>
      <c r="J231" s="41">
        <f>I234</f>
        <v>86623</v>
      </c>
      <c r="K231" s="41">
        <f t="shared" ref="K231:N231" si="116">J234</f>
        <v>100423.21114599999</v>
      </c>
      <c r="L231" s="41">
        <f t="shared" si="116"/>
        <v>116543.94589694499</v>
      </c>
      <c r="M231" s="41">
        <f t="shared" si="116"/>
        <v>135141.97035900579</v>
      </c>
      <c r="N231" s="41">
        <f t="shared" si="116"/>
        <v>156431.77970429879</v>
      </c>
    </row>
    <row r="232" spans="1:16" outlineLevel="1" x14ac:dyDescent="0.3">
      <c r="B232" s="22" t="s">
        <v>15</v>
      </c>
      <c r="H232" s="41"/>
      <c r="I232" s="41"/>
      <c r="J232" s="41">
        <f>J30</f>
        <v>15771.66988114285</v>
      </c>
      <c r="K232" s="41">
        <f>K30</f>
        <v>18423.696858222858</v>
      </c>
      <c r="L232" s="41">
        <f>L30</f>
        <v>21254.885099498053</v>
      </c>
      <c r="M232" s="41">
        <f>M30</f>
        <v>24331.210680334854</v>
      </c>
      <c r="N232" s="41">
        <f>N30</f>
        <v>27662.701799065784</v>
      </c>
    </row>
    <row r="233" spans="1:16" outlineLevel="1" x14ac:dyDescent="0.3">
      <c r="B233" s="22" t="s">
        <v>132</v>
      </c>
      <c r="H233" s="41"/>
      <c r="I233" s="41"/>
      <c r="J233" s="41">
        <f>-J232 * Inputs!H57</f>
        <v>-1971.4587351428563</v>
      </c>
      <c r="K233" s="41">
        <f>-K232 * Inputs!I57</f>
        <v>-2302.9621072778573</v>
      </c>
      <c r="L233" s="41">
        <f>-L232 * Inputs!J57</f>
        <v>-2656.8606374372566</v>
      </c>
      <c r="M233" s="41">
        <f>-M232 * Inputs!K57</f>
        <v>-3041.4013350418568</v>
      </c>
      <c r="N233" s="41">
        <f>-N232 * Inputs!L57</f>
        <v>-3457.837724883223</v>
      </c>
    </row>
    <row r="234" spans="1:16" ht="15" outlineLevel="1" thickBot="1" x14ac:dyDescent="0.35">
      <c r="B234" s="59" t="s">
        <v>128</v>
      </c>
      <c r="H234" s="41"/>
      <c r="I234" s="99">
        <f>I113</f>
        <v>86623</v>
      </c>
      <c r="J234" s="44">
        <f>SUM(J231:J233)</f>
        <v>100423.21114599999</v>
      </c>
      <c r="K234" s="44">
        <f t="shared" ref="K234:N234" si="117">SUM(K231:K233)</f>
        <v>116543.94589694499</v>
      </c>
      <c r="L234" s="44">
        <f t="shared" si="117"/>
        <v>135141.97035900579</v>
      </c>
      <c r="M234" s="44">
        <f t="shared" si="117"/>
        <v>156431.77970429879</v>
      </c>
      <c r="N234" s="44">
        <f t="shared" si="117"/>
        <v>180636.64377848135</v>
      </c>
    </row>
    <row r="235" spans="1:16" outlineLevel="1" x14ac:dyDescent="0.3">
      <c r="H235" s="103"/>
      <c r="I235" s="103"/>
      <c r="J235" s="103"/>
      <c r="K235" s="103"/>
      <c r="L235" s="103"/>
      <c r="M235" s="103"/>
      <c r="N235" s="103"/>
    </row>
    <row r="236" spans="1:16" x14ac:dyDescent="0.3">
      <c r="H236" s="103"/>
      <c r="I236" s="103"/>
      <c r="J236" s="103"/>
      <c r="K236" s="103"/>
      <c r="L236" s="103"/>
      <c r="M236" s="103"/>
      <c r="N236" s="103"/>
    </row>
    <row r="237" spans="1:16" ht="18" x14ac:dyDescent="0.35">
      <c r="A237" t="s">
        <v>153</v>
      </c>
      <c r="B237" s="15" t="s">
        <v>151</v>
      </c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</row>
    <row r="238" spans="1:16" outlineLevel="1" x14ac:dyDescent="0.3">
      <c r="H238" s="103"/>
      <c r="I238" s="103"/>
      <c r="J238" s="103"/>
      <c r="K238" s="103"/>
      <c r="L238" s="103"/>
      <c r="M238" s="103"/>
      <c r="N238" s="103"/>
    </row>
    <row r="239" spans="1:16" outlineLevel="1" x14ac:dyDescent="0.3">
      <c r="A239" t="s">
        <v>145</v>
      </c>
      <c r="B239" s="17" t="s">
        <v>216</v>
      </c>
      <c r="H239" s="107"/>
      <c r="I239" s="18">
        <v>2025</v>
      </c>
      <c r="J239" s="19">
        <v>2026</v>
      </c>
      <c r="K239" s="19">
        <f t="shared" ref="K239" si="118">J239 + 1</f>
        <v>2027</v>
      </c>
      <c r="L239" s="19">
        <f t="shared" ref="L239" si="119">K239 + 1</f>
        <v>2028</v>
      </c>
      <c r="M239" s="19">
        <f t="shared" ref="M239" si="120">L239 + 1</f>
        <v>2029</v>
      </c>
      <c r="N239" s="19">
        <f t="shared" ref="N239" si="121">M239 + 1</f>
        <v>2030</v>
      </c>
    </row>
    <row r="240" spans="1:16" outlineLevel="1" x14ac:dyDescent="0.3">
      <c r="B240" s="17" t="str">
        <f>_xlfn.CONCAT("Model Currently Running:", " ", INDEX(Inputs!$B$15:$B$17, Inputs!$F$8), " ", "Scenario")</f>
        <v>Model Currently Running: Base Case Scenario</v>
      </c>
      <c r="H240" s="41"/>
      <c r="I240" s="41"/>
      <c r="J240" s="41"/>
      <c r="K240" s="41"/>
      <c r="L240" s="41"/>
      <c r="M240" s="41"/>
      <c r="N240" s="41"/>
    </row>
    <row r="241" spans="1:16" outlineLevel="1" x14ac:dyDescent="0.3">
      <c r="H241" s="103"/>
      <c r="I241" s="103"/>
      <c r="J241" s="103"/>
      <c r="K241" s="103"/>
      <c r="L241" s="103"/>
      <c r="M241" s="103"/>
      <c r="N241" s="103"/>
    </row>
    <row r="242" spans="1:16" outlineLevel="1" x14ac:dyDescent="0.3">
      <c r="B242" s="16" t="s">
        <v>146</v>
      </c>
      <c r="H242" s="103"/>
      <c r="I242" s="103"/>
      <c r="J242" s="103"/>
      <c r="K242" s="103"/>
      <c r="L242" s="103"/>
      <c r="M242" s="103"/>
      <c r="N242" s="103"/>
    </row>
    <row r="243" spans="1:16" outlineLevel="1" x14ac:dyDescent="0.3">
      <c r="B243" s="22" t="s">
        <v>147</v>
      </c>
      <c r="H243" s="103"/>
      <c r="I243" s="41">
        <f>I107</f>
        <v>28317</v>
      </c>
      <c r="J243" s="41">
        <f>J107</f>
        <v>27317</v>
      </c>
      <c r="K243" s="41">
        <f t="shared" ref="K243:N243" si="122">K107</f>
        <v>26317</v>
      </c>
      <c r="L243" s="41">
        <f t="shared" si="122"/>
        <v>25317</v>
      </c>
      <c r="M243" s="41">
        <f t="shared" si="122"/>
        <v>24317</v>
      </c>
      <c r="N243" s="41">
        <f t="shared" si="122"/>
        <v>23317</v>
      </c>
    </row>
    <row r="244" spans="1:16" outlineLevel="1" x14ac:dyDescent="0.3">
      <c r="B244" s="22" t="s">
        <v>177</v>
      </c>
      <c r="H244" s="103"/>
      <c r="I244" s="41">
        <f>-I82</f>
        <v>-5941</v>
      </c>
      <c r="J244" s="41">
        <f>-J82</f>
        <v>-13807.185212144814</v>
      </c>
      <c r="K244" s="41">
        <f t="shared" ref="K244:N244" si="123">-K82</f>
        <v>-23334.871086690113</v>
      </c>
      <c r="L244" s="41">
        <f t="shared" si="123"/>
        <v>-34302.980714800113</v>
      </c>
      <c r="M244" s="41">
        <f t="shared" si="123"/>
        <v>-46719.43354602746</v>
      </c>
      <c r="N244" s="41">
        <f t="shared" si="123"/>
        <v>-60707.690602877803</v>
      </c>
    </row>
    <row r="245" spans="1:16" outlineLevel="1" x14ac:dyDescent="0.3">
      <c r="B245" s="59" t="s">
        <v>178</v>
      </c>
      <c r="C245" s="16"/>
      <c r="D245" s="16"/>
      <c r="E245" s="16"/>
      <c r="F245" s="16"/>
      <c r="G245" s="16"/>
      <c r="H245" s="110"/>
      <c r="I245" s="42">
        <f>SUM(I243:I244)</f>
        <v>22376</v>
      </c>
      <c r="J245" s="42">
        <f>SUM(J243:J244)</f>
        <v>13509.814787855186</v>
      </c>
      <c r="K245" s="42">
        <f t="shared" ref="K245:N245" si="124">SUM(K243:K244)</f>
        <v>2982.1289133098871</v>
      </c>
      <c r="L245" s="42">
        <f t="shared" si="124"/>
        <v>-8985.9807148001128</v>
      </c>
      <c r="M245" s="42">
        <f t="shared" si="124"/>
        <v>-22402.43354602746</v>
      </c>
      <c r="N245" s="42">
        <f t="shared" si="124"/>
        <v>-37390.690602877803</v>
      </c>
    </row>
    <row r="246" spans="1:16" outlineLevel="1" x14ac:dyDescent="0.3">
      <c r="B246" s="22" t="s">
        <v>148</v>
      </c>
      <c r="H246" s="103"/>
      <c r="I246" s="41">
        <f>I114</f>
        <v>87342</v>
      </c>
      <c r="J246" s="41">
        <f>J114</f>
        <v>101142.21114599999</v>
      </c>
      <c r="K246" s="41">
        <f t="shared" ref="K246:N246" si="125">K114</f>
        <v>117262.94589694499</v>
      </c>
      <c r="L246" s="41">
        <f t="shared" si="125"/>
        <v>135860.97035900579</v>
      </c>
      <c r="M246" s="41">
        <f t="shared" si="125"/>
        <v>157150.77970429879</v>
      </c>
      <c r="N246" s="41">
        <f t="shared" si="125"/>
        <v>181355.64377848135</v>
      </c>
    </row>
    <row r="247" spans="1:16" ht="15" outlineLevel="1" thickBot="1" x14ac:dyDescent="0.35">
      <c r="B247" s="16" t="s">
        <v>149</v>
      </c>
      <c r="H247" s="103"/>
      <c r="I247" s="44">
        <f>SUM(I245:I246)</f>
        <v>109718</v>
      </c>
      <c r="J247" s="44">
        <f>SUM(J245:J246)</f>
        <v>114652.02593385517</v>
      </c>
      <c r="K247" s="44">
        <f t="shared" ref="K247:N247" si="126">SUM(K245:K246)</f>
        <v>120245.07481025488</v>
      </c>
      <c r="L247" s="44">
        <f t="shared" si="126"/>
        <v>126874.98964420568</v>
      </c>
      <c r="M247" s="44">
        <f t="shared" si="126"/>
        <v>134748.34615827134</v>
      </c>
      <c r="N247" s="44">
        <f t="shared" si="126"/>
        <v>143964.95317560353</v>
      </c>
    </row>
    <row r="248" spans="1:16" outlineLevel="1" x14ac:dyDescent="0.3">
      <c r="H248" s="103"/>
      <c r="I248" s="103"/>
      <c r="J248" s="103"/>
      <c r="K248" s="103"/>
      <c r="L248" s="103"/>
      <c r="M248" s="103"/>
      <c r="N248" s="103"/>
    </row>
    <row r="249" spans="1:16" outlineLevel="1" x14ac:dyDescent="0.3">
      <c r="B249" t="s">
        <v>10</v>
      </c>
      <c r="H249" s="103"/>
      <c r="I249" s="41">
        <f>I21</f>
        <v>19061</v>
      </c>
      <c r="J249" s="41">
        <f>J21</f>
        <v>24686.797057142849</v>
      </c>
      <c r="K249" s="41">
        <f t="shared" ref="K249:N249" si="127">K21</f>
        <v>28270.167858642861</v>
      </c>
      <c r="L249" s="41">
        <f t="shared" si="127"/>
        <v>32102.373749302853</v>
      </c>
      <c r="M249" s="41">
        <f t="shared" si="127"/>
        <v>36275.048167131739</v>
      </c>
      <c r="N249" s="41">
        <f t="shared" si="127"/>
        <v>40802.119165369142</v>
      </c>
    </row>
    <row r="250" spans="1:16" outlineLevel="1" x14ac:dyDescent="0.3">
      <c r="B250" t="s">
        <v>124</v>
      </c>
      <c r="H250" s="103"/>
      <c r="I250" s="43">
        <f>Inputs!$D$60</f>
        <v>0.28000000000000003</v>
      </c>
      <c r="J250" s="43">
        <f>Inputs!$D$60</f>
        <v>0.28000000000000003</v>
      </c>
      <c r="K250" s="43">
        <f>Inputs!$D$60</f>
        <v>0.28000000000000003</v>
      </c>
      <c r="L250" s="43">
        <f>Inputs!$D$60</f>
        <v>0.28000000000000003</v>
      </c>
      <c r="M250" s="43">
        <f>Inputs!$D$60</f>
        <v>0.28000000000000003</v>
      </c>
      <c r="N250" s="43">
        <f>Inputs!$D$60</f>
        <v>0.28000000000000003</v>
      </c>
    </row>
    <row r="251" spans="1:16" ht="15" outlineLevel="1" thickBot="1" x14ac:dyDescent="0.35">
      <c r="B251" s="16" t="s">
        <v>150</v>
      </c>
      <c r="H251" s="103"/>
      <c r="I251" s="44">
        <f>I249*(1-I250)</f>
        <v>13723.92</v>
      </c>
      <c r="J251" s="44">
        <f>J249*(1-J250)</f>
        <v>17774.493881142851</v>
      </c>
      <c r="K251" s="44">
        <f t="shared" ref="K251:N251" si="128">K249*(1-K250)</f>
        <v>20354.520858222859</v>
      </c>
      <c r="L251" s="44">
        <f t="shared" si="128"/>
        <v>23113.709099498054</v>
      </c>
      <c r="M251" s="44">
        <f t="shared" si="128"/>
        <v>26118.034680334851</v>
      </c>
      <c r="N251" s="44">
        <f t="shared" si="128"/>
        <v>29377.525799065781</v>
      </c>
    </row>
    <row r="252" spans="1:16" outlineLevel="1" x14ac:dyDescent="0.3">
      <c r="H252" s="103"/>
      <c r="I252" s="103"/>
      <c r="J252" s="103"/>
      <c r="K252" s="103"/>
      <c r="L252" s="103"/>
      <c r="M252" s="103"/>
      <c r="N252" s="103"/>
    </row>
    <row r="253" spans="1:16" ht="15" outlineLevel="1" thickBot="1" x14ac:dyDescent="0.35">
      <c r="B253" s="16" t="s">
        <v>151</v>
      </c>
      <c r="H253" s="103"/>
      <c r="I253" s="108">
        <f>I251/I247</f>
        <v>0.12508357789970653</v>
      </c>
      <c r="J253" s="108">
        <f>J251/J247</f>
        <v>0.15502991540155844</v>
      </c>
      <c r="K253" s="108">
        <f t="shared" ref="K253:N253" si="129">K251/K247</f>
        <v>0.16927529788926507</v>
      </c>
      <c r="L253" s="108">
        <f t="shared" si="129"/>
        <v>0.18217703240264774</v>
      </c>
      <c r="M253" s="108">
        <f t="shared" si="129"/>
        <v>0.19382823926950019</v>
      </c>
      <c r="N253" s="108">
        <f t="shared" si="129"/>
        <v>0.20406026016090234</v>
      </c>
    </row>
    <row r="254" spans="1:16" outlineLevel="1" x14ac:dyDescent="0.3">
      <c r="H254" s="103"/>
      <c r="I254" s="103"/>
      <c r="J254" s="103"/>
      <c r="K254" s="103"/>
      <c r="L254" s="103"/>
      <c r="M254" s="103"/>
      <c r="N254" s="103"/>
    </row>
    <row r="255" spans="1:16" x14ac:dyDescent="0.3">
      <c r="H255" s="103"/>
      <c r="I255" s="103"/>
      <c r="J255" s="103"/>
      <c r="K255" s="103"/>
      <c r="L255" s="103"/>
      <c r="M255" s="103"/>
      <c r="N255" s="103"/>
    </row>
    <row r="256" spans="1:16" ht="18" x14ac:dyDescent="0.35">
      <c r="A256" t="s">
        <v>152</v>
      </c>
      <c r="B256" s="15" t="s">
        <v>154</v>
      </c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</row>
    <row r="257" spans="2:14" outlineLevel="1" x14ac:dyDescent="0.3">
      <c r="H257" s="103"/>
      <c r="I257" s="103"/>
      <c r="J257" s="103"/>
      <c r="K257" s="103"/>
      <c r="L257" s="103"/>
      <c r="M257" s="103"/>
      <c r="N257" s="103"/>
    </row>
    <row r="258" spans="2:14" outlineLevel="1" x14ac:dyDescent="0.3">
      <c r="B258" s="17" t="s">
        <v>216</v>
      </c>
      <c r="H258" s="107"/>
      <c r="I258" s="107"/>
      <c r="J258" s="146">
        <v>1</v>
      </c>
      <c r="K258" s="146">
        <f t="shared" ref="K258" si="130">J258 + 1</f>
        <v>2</v>
      </c>
      <c r="L258" s="146">
        <f t="shared" ref="L258" si="131">K258 + 1</f>
        <v>3</v>
      </c>
      <c r="M258" s="146">
        <f t="shared" ref="M258" si="132">L258 + 1</f>
        <v>4</v>
      </c>
      <c r="N258" s="146">
        <f t="shared" ref="N258" si="133">M258 + 1</f>
        <v>5</v>
      </c>
    </row>
    <row r="259" spans="2:14" outlineLevel="1" x14ac:dyDescent="0.3">
      <c r="B259" s="17" t="str">
        <f>_xlfn.CONCAT("Model Currently Running:", " ", INDEX(Inputs!$B$15:$B$17, Inputs!$F$8), " ", "Scenario")</f>
        <v>Model Currently Running: Base Case Scenario</v>
      </c>
      <c r="H259" s="41"/>
      <c r="I259" s="41"/>
      <c r="J259" s="41"/>
      <c r="K259" s="41"/>
      <c r="L259" s="41"/>
      <c r="M259" s="41"/>
      <c r="N259" s="41"/>
    </row>
    <row r="260" spans="2:14" outlineLevel="1" x14ac:dyDescent="0.3">
      <c r="H260" s="103"/>
      <c r="I260" s="103"/>
      <c r="J260" s="103"/>
      <c r="K260" s="103"/>
      <c r="L260" s="103"/>
      <c r="M260" s="103"/>
      <c r="N260" s="103"/>
    </row>
    <row r="261" spans="2:14" outlineLevel="1" x14ac:dyDescent="0.3">
      <c r="B261" t="s">
        <v>10</v>
      </c>
      <c r="H261" s="103"/>
      <c r="I261" s="103"/>
      <c r="J261" s="41">
        <f>J21</f>
        <v>24686.797057142849</v>
      </c>
      <c r="K261" s="41">
        <f t="shared" ref="K261:N261" si="134">K21</f>
        <v>28270.167858642861</v>
      </c>
      <c r="L261" s="41">
        <f t="shared" si="134"/>
        <v>32102.373749302853</v>
      </c>
      <c r="M261" s="41">
        <f t="shared" si="134"/>
        <v>36275.048167131739</v>
      </c>
      <c r="N261" s="41">
        <f t="shared" si="134"/>
        <v>40802.119165369142</v>
      </c>
    </row>
    <row r="262" spans="2:14" outlineLevel="1" x14ac:dyDescent="0.3">
      <c r="B262" t="s">
        <v>155</v>
      </c>
      <c r="F262" s="109">
        <f>Inputs!D60</f>
        <v>0.28000000000000003</v>
      </c>
      <c r="H262" s="103"/>
      <c r="I262" s="103"/>
      <c r="J262" s="41">
        <f>-(J261*$F$262)</f>
        <v>-6912.3031759999985</v>
      </c>
      <c r="K262" s="41">
        <f>-(K261*$F$262)</f>
        <v>-7915.6470004200019</v>
      </c>
      <c r="L262" s="41">
        <f>-(L261*$F$262)</f>
        <v>-8988.6646498047994</v>
      </c>
      <c r="M262" s="41">
        <f>-(M261*$F$262)</f>
        <v>-10157.013486796888</v>
      </c>
      <c r="N262" s="41">
        <f>-(N261*$F$262)</f>
        <v>-11424.593366303361</v>
      </c>
    </row>
    <row r="263" spans="2:14" ht="15" outlineLevel="1" thickBot="1" x14ac:dyDescent="0.35">
      <c r="B263" s="16" t="s">
        <v>156</v>
      </c>
      <c r="H263" s="103"/>
      <c r="I263" s="103"/>
      <c r="J263" s="44">
        <f>SUM(J261:J262)</f>
        <v>17774.493881142851</v>
      </c>
      <c r="K263" s="44">
        <f t="shared" ref="K263:N263" si="135">SUM(K261:K262)</f>
        <v>20354.520858222859</v>
      </c>
      <c r="L263" s="44">
        <f t="shared" si="135"/>
        <v>23113.709099498054</v>
      </c>
      <c r="M263" s="44">
        <f t="shared" si="135"/>
        <v>26118.034680334851</v>
      </c>
      <c r="N263" s="44">
        <f t="shared" si="135"/>
        <v>29377.525799065781</v>
      </c>
    </row>
    <row r="264" spans="2:14" outlineLevel="1" x14ac:dyDescent="0.3">
      <c r="H264" s="103"/>
      <c r="I264" s="103"/>
      <c r="J264" s="103"/>
      <c r="K264" s="103"/>
      <c r="L264" s="103"/>
      <c r="M264" s="103"/>
      <c r="N264" s="103"/>
    </row>
    <row r="265" spans="2:14" outlineLevel="1" x14ac:dyDescent="0.3">
      <c r="B265" t="s">
        <v>156</v>
      </c>
      <c r="H265" s="103"/>
      <c r="I265" s="103"/>
      <c r="J265" s="41">
        <f>J263</f>
        <v>17774.493881142851</v>
      </c>
      <c r="K265" s="41">
        <f t="shared" ref="K265:N265" si="136">K263</f>
        <v>20354.520858222859</v>
      </c>
      <c r="L265" s="41">
        <f t="shared" si="136"/>
        <v>23113.709099498054</v>
      </c>
      <c r="M265" s="41">
        <f t="shared" si="136"/>
        <v>26118.034680334851</v>
      </c>
      <c r="N265" s="41">
        <f t="shared" si="136"/>
        <v>29377.525799065781</v>
      </c>
    </row>
    <row r="266" spans="2:14" outlineLevel="1" x14ac:dyDescent="0.3">
      <c r="B266" t="s">
        <v>122</v>
      </c>
      <c r="H266" s="103"/>
      <c r="I266" s="103"/>
      <c r="J266" s="41">
        <f>J195</f>
        <v>9726.1479428571438</v>
      </c>
      <c r="K266" s="41">
        <f t="shared" ref="K266:N266" si="137">K195</f>
        <v>10569.756708857143</v>
      </c>
      <c r="L266" s="41">
        <f t="shared" si="137"/>
        <v>11533.437156097143</v>
      </c>
      <c r="M266" s="41">
        <f t="shared" si="137"/>
        <v>12630.749459747643</v>
      </c>
      <c r="N266" s="41">
        <f t="shared" si="137"/>
        <v>13877.482330594061</v>
      </c>
    </row>
    <row r="267" spans="2:14" outlineLevel="1" x14ac:dyDescent="0.3">
      <c r="B267" t="s">
        <v>157</v>
      </c>
      <c r="H267" s="103"/>
      <c r="I267" s="103"/>
      <c r="J267" s="41">
        <f>J150</f>
        <v>2225.5729452054766</v>
      </c>
      <c r="K267" s="41">
        <f t="shared" ref="K267:N267" si="138">K150</f>
        <v>3000.1724002226074</v>
      </c>
      <c r="L267" s="41">
        <f t="shared" si="138"/>
        <v>3337.596376771231</v>
      </c>
      <c r="M267" s="41">
        <f t="shared" si="138"/>
        <v>3758.0836691202603</v>
      </c>
      <c r="N267" s="41">
        <f t="shared" si="138"/>
        <v>4220.8373122589146</v>
      </c>
    </row>
    <row r="268" spans="2:14" outlineLevel="1" x14ac:dyDescent="0.3">
      <c r="B268" t="s">
        <v>60</v>
      </c>
      <c r="H268" s="103"/>
      <c r="I268" s="103"/>
      <c r="J268" s="41">
        <f>-J158</f>
        <v>-7865.8159999999998</v>
      </c>
      <c r="K268" s="41">
        <f t="shared" ref="K268:N268" si="139">-K158</f>
        <v>-9006.3593200000014</v>
      </c>
      <c r="L268" s="41">
        <f t="shared" si="139"/>
        <v>-10267.249624800001</v>
      </c>
      <c r="M268" s="41">
        <f t="shared" si="139"/>
        <v>-11678.99644821</v>
      </c>
      <c r="N268" s="41">
        <f t="shared" si="139"/>
        <v>-13255.660968718352</v>
      </c>
    </row>
    <row r="269" spans="2:14" ht="15" outlineLevel="1" thickBot="1" x14ac:dyDescent="0.35">
      <c r="B269" s="16" t="s">
        <v>158</v>
      </c>
      <c r="H269" s="103"/>
      <c r="I269" s="103"/>
      <c r="J269" s="44">
        <f>SUM(J265:J268)</f>
        <v>21860.398769205472</v>
      </c>
      <c r="K269" s="44">
        <f t="shared" ref="K269:N269" si="140">SUM(K265:K268)</f>
        <v>24918.090647302612</v>
      </c>
      <c r="L269" s="44">
        <f t="shared" si="140"/>
        <v>27717.493007566423</v>
      </c>
      <c r="M269" s="44">
        <f t="shared" si="140"/>
        <v>30827.871360992754</v>
      </c>
      <c r="N269" s="44">
        <f t="shared" si="140"/>
        <v>34220.18447320041</v>
      </c>
    </row>
    <row r="270" spans="2:14" outlineLevel="1" x14ac:dyDescent="0.3">
      <c r="H270" s="103"/>
      <c r="I270" s="103"/>
      <c r="J270" s="103"/>
      <c r="K270" s="103"/>
      <c r="L270" s="103"/>
      <c r="M270" s="103"/>
      <c r="N270" s="103"/>
    </row>
    <row r="271" spans="2:14" outlineLevel="1" x14ac:dyDescent="0.3">
      <c r="B271" t="s">
        <v>205</v>
      </c>
      <c r="E271" s="144">
        <f>Inputs!F103</f>
        <v>0.11768508409086835</v>
      </c>
      <c r="H271" s="103"/>
      <c r="I271" s="103"/>
      <c r="J271" s="103"/>
      <c r="K271" s="103"/>
      <c r="L271" s="103"/>
      <c r="M271" s="103"/>
      <c r="N271" s="103"/>
    </row>
    <row r="272" spans="2:14" outlineLevel="1" x14ac:dyDescent="0.3">
      <c r="B272" t="s">
        <v>204</v>
      </c>
      <c r="E272" s="145">
        <f>Inputs!K61</f>
        <v>0.03</v>
      </c>
      <c r="H272" s="103"/>
      <c r="I272" s="103"/>
      <c r="J272" s="103"/>
      <c r="K272" s="103"/>
      <c r="L272" s="103"/>
      <c r="M272" s="103"/>
      <c r="N272" s="103"/>
    </row>
    <row r="273" spans="2:14" outlineLevel="1" x14ac:dyDescent="0.3">
      <c r="H273" s="103"/>
      <c r="I273" s="103"/>
      <c r="J273" s="103"/>
      <c r="K273" s="103"/>
      <c r="L273" s="103"/>
      <c r="M273" s="103"/>
      <c r="N273" s="103"/>
    </row>
    <row r="274" spans="2:14" outlineLevel="1" x14ac:dyDescent="0.3">
      <c r="H274" s="103"/>
      <c r="I274" s="103"/>
      <c r="J274" s="103"/>
      <c r="K274" s="103"/>
      <c r="L274" s="103"/>
      <c r="M274" s="103"/>
      <c r="N274" s="103"/>
    </row>
    <row r="275" spans="2:14" outlineLevel="1" x14ac:dyDescent="0.3">
      <c r="B275" t="s">
        <v>158</v>
      </c>
      <c r="H275" s="103"/>
      <c r="I275" s="103"/>
      <c r="J275" s="41">
        <f>J269</f>
        <v>21860.398769205472</v>
      </c>
      <c r="K275" s="41">
        <f t="shared" ref="K275:N275" si="141">K269</f>
        <v>24918.090647302612</v>
      </c>
      <c r="L275" s="41">
        <f t="shared" si="141"/>
        <v>27717.493007566423</v>
      </c>
      <c r="M275" s="41">
        <f t="shared" si="141"/>
        <v>30827.871360992754</v>
      </c>
      <c r="N275" s="41">
        <f t="shared" si="141"/>
        <v>34220.18447320041</v>
      </c>
    </row>
    <row r="276" spans="2:14" outlineLevel="1" x14ac:dyDescent="0.3">
      <c r="B276" t="s">
        <v>206</v>
      </c>
      <c r="H276" s="103"/>
      <c r="I276" s="103"/>
      <c r="J276" s="97">
        <v>0</v>
      </c>
      <c r="K276" s="97">
        <v>0</v>
      </c>
      <c r="L276" s="97">
        <v>0</v>
      </c>
      <c r="M276" s="97">
        <v>0</v>
      </c>
      <c r="N276" s="53">
        <f>N275/(1+E272)/(E271-E272)</f>
        <v>378895.45771135658</v>
      </c>
    </row>
    <row r="277" spans="2:14" outlineLevel="1" x14ac:dyDescent="0.3">
      <c r="B277" t="s">
        <v>207</v>
      </c>
      <c r="H277" s="103"/>
      <c r="I277" s="103"/>
      <c r="J277" s="41">
        <f>SUM(J275:J276)</f>
        <v>21860.398769205472</v>
      </c>
      <c r="K277" s="41">
        <f t="shared" ref="K277:N277" si="142">SUM(K275:K276)</f>
        <v>24918.090647302612</v>
      </c>
      <c r="L277" s="41">
        <f t="shared" si="142"/>
        <v>27717.493007566423</v>
      </c>
      <c r="M277" s="41">
        <f t="shared" si="142"/>
        <v>30827.871360992754</v>
      </c>
      <c r="N277" s="41">
        <f t="shared" si="142"/>
        <v>413115.64218455699</v>
      </c>
    </row>
    <row r="278" spans="2:14" outlineLevel="1" x14ac:dyDescent="0.3">
      <c r="H278" s="103"/>
      <c r="I278" s="103"/>
      <c r="J278" s="103"/>
      <c r="K278" s="103"/>
      <c r="L278" s="103"/>
      <c r="M278" s="103"/>
      <c r="N278" s="103"/>
    </row>
    <row r="279" spans="2:14" outlineLevel="1" x14ac:dyDescent="0.3">
      <c r="H279" s="103"/>
      <c r="I279" s="103"/>
      <c r="J279" s="103"/>
      <c r="K279" s="103"/>
      <c r="L279" s="103"/>
      <c r="M279" s="103"/>
      <c r="N279" s="103"/>
    </row>
    <row r="280" spans="2:14" outlineLevel="1" x14ac:dyDescent="0.3">
      <c r="B280" t="s">
        <v>208</v>
      </c>
      <c r="H280" s="103"/>
      <c r="I280" s="103"/>
      <c r="J280" s="117">
        <f>J258</f>
        <v>1</v>
      </c>
      <c r="K280" s="117">
        <f t="shared" ref="K280:N280" si="143">K258</f>
        <v>2</v>
      </c>
      <c r="L280" s="117">
        <f t="shared" si="143"/>
        <v>3</v>
      </c>
      <c r="M280" s="117">
        <f t="shared" si="143"/>
        <v>4</v>
      </c>
      <c r="N280" s="117">
        <f t="shared" si="143"/>
        <v>5</v>
      </c>
    </row>
    <row r="281" spans="2:14" ht="15" outlineLevel="1" thickBot="1" x14ac:dyDescent="0.35">
      <c r="B281" s="16" t="s">
        <v>209</v>
      </c>
      <c r="H281" s="103"/>
      <c r="I281" s="103"/>
      <c r="J281" s="44">
        <f>J277/((1+$E$271)^J280)</f>
        <v>19558.638726029749</v>
      </c>
      <c r="K281" s="44">
        <f t="shared" ref="K281:N281" si="144">K277/((1+$E$271)^K280)</f>
        <v>19946.920238641498</v>
      </c>
      <c r="L281" s="44">
        <f t="shared" si="144"/>
        <v>19851.602988722047</v>
      </c>
      <c r="M281" s="44">
        <f t="shared" si="144"/>
        <v>19754.485244540527</v>
      </c>
      <c r="N281" s="44">
        <f t="shared" si="144"/>
        <v>236850.53148990101</v>
      </c>
    </row>
    <row r="282" spans="2:14" outlineLevel="1" x14ac:dyDescent="0.3">
      <c r="H282" s="103"/>
      <c r="I282" s="103"/>
      <c r="J282" s="103"/>
      <c r="K282" s="103"/>
      <c r="L282" s="103"/>
      <c r="M282" s="103"/>
      <c r="N282" s="103"/>
    </row>
    <row r="283" spans="2:14" outlineLevel="1" x14ac:dyDescent="0.3">
      <c r="H283" s="103"/>
      <c r="I283" s="103"/>
      <c r="J283" s="103"/>
      <c r="K283" s="103"/>
      <c r="L283" s="103"/>
      <c r="M283" s="103"/>
      <c r="N283" s="103"/>
    </row>
    <row r="284" spans="2:14" outlineLevel="1" x14ac:dyDescent="0.3">
      <c r="B284" s="20" t="s">
        <v>210</v>
      </c>
      <c r="C284" s="21"/>
      <c r="D284" s="21"/>
      <c r="E284" s="21"/>
      <c r="F284" s="21"/>
      <c r="H284" s="103"/>
      <c r="I284" s="103"/>
      <c r="J284" s="103"/>
      <c r="K284" s="103"/>
      <c r="L284" s="103"/>
      <c r="M284" s="103"/>
      <c r="N284" s="103"/>
    </row>
    <row r="285" spans="2:14" outlineLevel="1" x14ac:dyDescent="0.3">
      <c r="B285" s="22" t="s">
        <v>211</v>
      </c>
      <c r="F285" s="60">
        <f>SUM(J281:N281)</f>
        <v>315962.17868783482</v>
      </c>
      <c r="H285" s="103"/>
      <c r="I285" s="103"/>
      <c r="J285" s="103"/>
      <c r="K285" s="103"/>
      <c r="L285" s="103"/>
      <c r="M285" s="103"/>
      <c r="N285" s="103"/>
    </row>
    <row r="286" spans="2:14" outlineLevel="1" x14ac:dyDescent="0.3">
      <c r="B286" s="22" t="s">
        <v>212</v>
      </c>
      <c r="F286" s="60">
        <f>-I245</f>
        <v>-22376</v>
      </c>
      <c r="H286" s="103"/>
      <c r="I286" s="103"/>
      <c r="J286" s="103"/>
      <c r="K286" s="103"/>
      <c r="L286" s="103"/>
      <c r="M286" s="103"/>
      <c r="N286" s="103"/>
    </row>
    <row r="287" spans="2:14" outlineLevel="1" x14ac:dyDescent="0.3">
      <c r="B287" s="59" t="s">
        <v>213</v>
      </c>
      <c r="F287" s="134">
        <f>SUM(F285:F286)</f>
        <v>293586.17868783482</v>
      </c>
      <c r="H287" s="103"/>
      <c r="I287" s="103"/>
      <c r="J287" s="103"/>
      <c r="K287" s="103"/>
      <c r="L287" s="103"/>
      <c r="M287" s="103"/>
      <c r="N287" s="103"/>
    </row>
    <row r="288" spans="2:14" outlineLevel="1" x14ac:dyDescent="0.3">
      <c r="B288" s="22" t="s">
        <v>203</v>
      </c>
      <c r="D288" s="147" t="s">
        <v>214</v>
      </c>
      <c r="F288" s="148">
        <f>Inputs!K60</f>
        <v>143.78465700000001</v>
      </c>
      <c r="H288" s="103"/>
      <c r="I288" s="103"/>
      <c r="J288" s="103"/>
      <c r="K288" s="103"/>
      <c r="L288" s="103"/>
      <c r="M288" s="103"/>
      <c r="N288" s="103"/>
    </row>
    <row r="289" spans="2:14" outlineLevel="1" x14ac:dyDescent="0.3">
      <c r="B289" s="59" t="s">
        <v>213</v>
      </c>
      <c r="D289" s="147" t="s">
        <v>215</v>
      </c>
      <c r="F289" s="149">
        <f>F287/F288</f>
        <v>2041.8463611721438</v>
      </c>
      <c r="H289" s="103"/>
      <c r="I289" s="103"/>
      <c r="J289" s="103"/>
      <c r="K289" s="103"/>
      <c r="L289" s="103"/>
      <c r="M289" s="103"/>
      <c r="N289" s="103"/>
    </row>
    <row r="290" spans="2:14" outlineLevel="1" x14ac:dyDescent="0.3">
      <c r="H290" s="103"/>
      <c r="I290" s="103"/>
      <c r="J290" s="103"/>
      <c r="K290" s="103"/>
      <c r="L290" s="103"/>
      <c r="M290" s="103"/>
      <c r="N290" s="103"/>
    </row>
    <row r="291" spans="2:14" x14ac:dyDescent="0.3">
      <c r="H291" s="103"/>
      <c r="I291" s="103"/>
      <c r="J291" s="103"/>
      <c r="K291" s="103"/>
      <c r="L291" s="103"/>
      <c r="M291" s="103"/>
      <c r="N291" s="103"/>
    </row>
    <row r="292" spans="2:14" ht="15.6" x14ac:dyDescent="0.35">
      <c r="H292" s="103"/>
      <c r="I292" s="103"/>
      <c r="J292" s="103"/>
      <c r="K292" s="103"/>
      <c r="L292" s="152"/>
    </row>
    <row r="293" spans="2:14" ht="15.6" x14ac:dyDescent="0.35">
      <c r="C293" s="162"/>
      <c r="D293" s="162"/>
      <c r="E293" s="162" t="s">
        <v>219</v>
      </c>
      <c r="F293" s="162"/>
      <c r="G293" s="162"/>
      <c r="H293" s="162"/>
      <c r="I293" s="162"/>
      <c r="J293" s="162"/>
      <c r="K293" s="103"/>
      <c r="L293" s="152"/>
    </row>
    <row r="294" spans="2:14" ht="15.6" x14ac:dyDescent="0.35">
      <c r="C294" s="162"/>
      <c r="D294" s="162"/>
      <c r="E294" s="184">
        <f>F285</f>
        <v>315962.17868783482</v>
      </c>
      <c r="F294" s="185">
        <v>2.5000000000000001E-2</v>
      </c>
      <c r="G294" s="185">
        <v>2.75E-2</v>
      </c>
      <c r="H294" s="185">
        <v>0.03</v>
      </c>
      <c r="I294" s="185">
        <v>3.2500000000000001E-2</v>
      </c>
      <c r="J294" s="185">
        <v>3.5000000000000003E-2</v>
      </c>
      <c r="K294" s="103"/>
      <c r="L294" s="153"/>
    </row>
    <row r="295" spans="2:14" ht="15" x14ac:dyDescent="0.3">
      <c r="C295" s="162"/>
      <c r="D295" s="162"/>
      <c r="E295" s="186">
        <v>0.11576490803384451</v>
      </c>
      <c r="F295" s="184">
        <f t="dataTable" ref="F295:J299" dt2D="1" dtr="1" r1="E272" r2="E271" ca="1"/>
        <v>311946.46463343443</v>
      </c>
      <c r="G295" s="184">
        <v>317438.88682032778</v>
      </c>
      <c r="H295" s="184">
        <v>323254.16993481957</v>
      </c>
      <c r="I295" s="184">
        <v>329421.37544644019</v>
      </c>
      <c r="J295" s="184">
        <v>335973.16330215207</v>
      </c>
      <c r="K295" s="103"/>
      <c r="L295" s="154"/>
    </row>
    <row r="296" spans="2:14" ht="15" x14ac:dyDescent="0.3">
      <c r="C296" s="162"/>
      <c r="D296" s="162" t="s">
        <v>205</v>
      </c>
      <c r="E296" s="186">
        <v>0.11676490803384451</v>
      </c>
      <c r="F296" s="184">
        <v>308421.75418767222</v>
      </c>
      <c r="G296" s="184">
        <v>313763.74807449046</v>
      </c>
      <c r="H296" s="184">
        <v>319416.20131376036</v>
      </c>
      <c r="I296" s="184">
        <v>325406.7267781609</v>
      </c>
      <c r="J296" s="184">
        <v>331766.31464079791</v>
      </c>
      <c r="K296" s="103"/>
      <c r="L296" s="154"/>
    </row>
    <row r="297" spans="2:14" ht="15" x14ac:dyDescent="0.3">
      <c r="C297" s="162"/>
      <c r="D297" s="162"/>
      <c r="E297" s="186">
        <v>0.11776490803384451</v>
      </c>
      <c r="F297" s="184">
        <v>304973.38453543378</v>
      </c>
      <c r="G297" s="184">
        <v>310170.35429222381</v>
      </c>
      <c r="H297" s="184">
        <v>315665.97237511893</v>
      </c>
      <c r="I297" s="184">
        <v>321486.48898357194</v>
      </c>
      <c r="J297" s="184">
        <v>327661.32616681687</v>
      </c>
      <c r="K297" s="103"/>
      <c r="L297" s="154"/>
    </row>
    <row r="298" spans="2:14" x14ac:dyDescent="0.3">
      <c r="C298" s="162"/>
      <c r="D298" s="162"/>
      <c r="E298" s="186">
        <v>0.11876490803384451</v>
      </c>
      <c r="F298" s="184">
        <v>301598.9119564502</v>
      </c>
      <c r="G298" s="184">
        <v>306656.01741045818</v>
      </c>
      <c r="H298" s="184">
        <v>312000.51699030027</v>
      </c>
      <c r="I298" s="184">
        <v>317657.37822579674</v>
      </c>
      <c r="J298" s="184">
        <v>323654.54950228578</v>
      </c>
      <c r="K298" s="103"/>
      <c r="L298" s="103"/>
      <c r="M298" s="103"/>
      <c r="N298" s="103"/>
    </row>
    <row r="299" spans="2:14" x14ac:dyDescent="0.3">
      <c r="C299" s="162"/>
      <c r="D299" s="162"/>
      <c r="E299" s="186">
        <v>0.11976490803384451</v>
      </c>
      <c r="F299" s="184">
        <v>298295.99588371965</v>
      </c>
      <c r="G299" s="184">
        <v>303218.1659059418</v>
      </c>
      <c r="H299" s="184">
        <v>308417.00120543968</v>
      </c>
      <c r="I299" s="184">
        <v>313916.26119055622</v>
      </c>
      <c r="J299" s="184">
        <v>319742.50843203603</v>
      </c>
      <c r="K299" s="103"/>
      <c r="L299" s="103"/>
      <c r="M299" s="103"/>
      <c r="N299" s="103"/>
    </row>
    <row r="300" spans="2:14" x14ac:dyDescent="0.3">
      <c r="C300" s="162"/>
      <c r="D300" s="162"/>
      <c r="E300" s="162"/>
      <c r="F300" s="162"/>
      <c r="G300" s="162"/>
      <c r="H300" s="162"/>
      <c r="I300" s="162"/>
      <c r="J300" s="162"/>
      <c r="K300" s="103"/>
      <c r="L300" s="103"/>
      <c r="M300" s="103"/>
      <c r="N300" s="103"/>
    </row>
    <row r="301" spans="2:14" x14ac:dyDescent="0.3">
      <c r="H301" s="103"/>
      <c r="I301" s="103"/>
      <c r="J301" s="103"/>
      <c r="K301" s="103"/>
      <c r="L301" s="103"/>
      <c r="M301" s="103"/>
      <c r="N301" s="103"/>
    </row>
    <row r="302" spans="2:14" x14ac:dyDescent="0.3">
      <c r="H302" s="103"/>
      <c r="I302" s="103"/>
      <c r="J302" s="103"/>
      <c r="K302" s="103"/>
      <c r="L302" s="103"/>
      <c r="M302" s="103"/>
      <c r="N302" s="103"/>
    </row>
    <row r="303" spans="2:14" x14ac:dyDescent="0.3">
      <c r="H303" s="103"/>
      <c r="I303" s="103"/>
      <c r="J303" s="103"/>
      <c r="K303" s="103"/>
      <c r="L303" s="103"/>
      <c r="M303" s="103"/>
      <c r="N303" s="103"/>
    </row>
    <row r="304" spans="2:14" x14ac:dyDescent="0.3">
      <c r="H304" s="103"/>
      <c r="I304" s="103"/>
      <c r="J304" s="103"/>
      <c r="K304" s="103"/>
      <c r="L304" s="103"/>
      <c r="M304" s="103"/>
      <c r="N304" s="103"/>
    </row>
    <row r="305" spans="8:14" x14ac:dyDescent="0.3">
      <c r="H305" s="103"/>
      <c r="I305" s="103"/>
      <c r="J305" s="103"/>
      <c r="K305" s="103"/>
      <c r="L305" s="103"/>
      <c r="M305" s="103"/>
      <c r="N305" s="103"/>
    </row>
    <row r="306" spans="8:14" x14ac:dyDescent="0.3">
      <c r="H306" s="103"/>
      <c r="I306" s="103"/>
      <c r="J306" s="103"/>
      <c r="K306" s="103"/>
      <c r="L306" s="103"/>
      <c r="M306" s="103"/>
      <c r="N306" s="103"/>
    </row>
    <row r="307" spans="8:14" x14ac:dyDescent="0.3">
      <c r="H307" s="103"/>
      <c r="I307" s="103"/>
      <c r="J307" s="103"/>
      <c r="K307" s="103"/>
      <c r="L307" s="103"/>
      <c r="M307" s="103"/>
      <c r="N307" s="103"/>
    </row>
    <row r="308" spans="8:14" x14ac:dyDescent="0.3">
      <c r="H308" s="103"/>
      <c r="I308" s="103"/>
      <c r="J308" s="103"/>
      <c r="K308" s="103"/>
      <c r="L308" s="103"/>
      <c r="M308" s="103"/>
      <c r="N308" s="103"/>
    </row>
    <row r="309" spans="8:14" x14ac:dyDescent="0.3">
      <c r="H309" s="103"/>
      <c r="I309" s="103"/>
      <c r="J309" s="103"/>
      <c r="K309" s="103"/>
      <c r="L309" s="103"/>
      <c r="M309" s="103"/>
      <c r="N309" s="103"/>
    </row>
    <row r="310" spans="8:14" x14ac:dyDescent="0.3">
      <c r="H310" s="103"/>
      <c r="I310" s="103"/>
      <c r="J310" s="103"/>
      <c r="K310" s="103"/>
      <c r="L310" s="103"/>
      <c r="M310" s="103"/>
      <c r="N310" s="103"/>
    </row>
    <row r="311" spans="8:14" x14ac:dyDescent="0.3">
      <c r="H311" s="103"/>
      <c r="I311" s="103"/>
      <c r="J311" s="103"/>
      <c r="K311" s="103"/>
      <c r="L311" s="103"/>
      <c r="M311" s="103"/>
      <c r="N311" s="103"/>
    </row>
  </sheetData>
  <conditionalFormatting sqref="H119:O119">
    <cfRule type="cellIs" dxfId="0" priority="1" operator="notEqual">
      <formula>0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3" name="Drop Down 3">
              <controlPr defaultSize="0" autoLine="0" autoPict="0">
                <anchor moveWithCells="1">
                  <from>
                    <xdr:col>5</xdr:col>
                    <xdr:colOff>0</xdr:colOff>
                    <xdr:row>7</xdr:row>
                    <xdr:rowOff>7620</xdr:rowOff>
                  </from>
                  <to>
                    <xdr:col>6</xdr:col>
                    <xdr:colOff>411480</xdr:colOff>
                    <xdr:row>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Outputs</vt:lpstr>
      <vt:lpstr>Inputs</vt:lpstr>
      <vt:lpstr>Comps Table</vt:lpstr>
      <vt:lpstr>DCF 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Aarav Singh</dc:creator>
  <cp:lastModifiedBy>Aarav Singh</cp:lastModifiedBy>
  <dcterms:created xsi:type="dcterms:W3CDTF">2026-05-06T06:28:42Z</dcterms:created>
  <dcterms:modified xsi:type="dcterms:W3CDTF">2026-05-27T14:11:36Z</dcterms:modified>
</cp:coreProperties>
</file>